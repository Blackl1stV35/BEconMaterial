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D28A9F-D141-44E1-A665-88656140ADCF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Raw_Data" sheetId="1" r:id="rId1"/>
    <sheet name="MD" sheetId="2" r:id="rId2"/>
    <sheet name="MDF" sheetId="3" r:id="rId3"/>
    <sheet name="AD" sheetId="4" r:id="rId4"/>
    <sheet name="ADF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4" i="5" l="1"/>
  <c r="A13" i="5"/>
  <c r="A12" i="5"/>
  <c r="A11" i="5"/>
  <c r="A10" i="5"/>
  <c r="A9" i="5"/>
  <c r="A8" i="5"/>
  <c r="A7" i="5"/>
  <c r="A6" i="5"/>
  <c r="A5" i="5"/>
  <c r="A4" i="5"/>
  <c r="A3" i="5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D56" i="4"/>
  <c r="E56" i="4" s="1"/>
  <c r="I55" i="4"/>
  <c r="D55" i="4"/>
  <c r="E55" i="4" s="1"/>
  <c r="I54" i="4"/>
  <c r="D54" i="4"/>
  <c r="E54" i="4" s="1"/>
  <c r="I53" i="4"/>
  <c r="D53" i="4"/>
  <c r="E53" i="4" s="1"/>
  <c r="I52" i="4"/>
  <c r="D52" i="4"/>
  <c r="E52" i="4" s="1"/>
  <c r="I51" i="4"/>
  <c r="D51" i="4"/>
  <c r="E51" i="4" s="1"/>
  <c r="I50" i="4"/>
  <c r="D50" i="4"/>
  <c r="E50" i="4" s="1"/>
  <c r="I49" i="4"/>
  <c r="D49" i="4"/>
  <c r="E49" i="4" s="1"/>
  <c r="I48" i="4"/>
  <c r="D48" i="4"/>
  <c r="E48" i="4" s="1"/>
  <c r="I47" i="4"/>
  <c r="D47" i="4"/>
  <c r="E47" i="4" s="1"/>
  <c r="I46" i="4"/>
  <c r="D46" i="4"/>
  <c r="E46" i="4" s="1"/>
  <c r="I45" i="4"/>
  <c r="D45" i="4"/>
  <c r="E45" i="4" s="1"/>
  <c r="I44" i="4"/>
  <c r="D44" i="4"/>
  <c r="E44" i="4" s="1"/>
  <c r="I43" i="4"/>
  <c r="E43" i="4"/>
  <c r="D43" i="4"/>
  <c r="I42" i="4"/>
  <c r="E42" i="4"/>
  <c r="D42" i="4"/>
  <c r="I41" i="4"/>
  <c r="D41" i="4"/>
  <c r="E41" i="4" s="1"/>
  <c r="I40" i="4"/>
  <c r="D40" i="4"/>
  <c r="E40" i="4" s="1"/>
  <c r="I39" i="4"/>
  <c r="E39" i="4"/>
  <c r="D39" i="4"/>
  <c r="I38" i="4"/>
  <c r="D38" i="4"/>
  <c r="E38" i="4" s="1"/>
  <c r="I37" i="4"/>
  <c r="E37" i="4"/>
  <c r="D37" i="4"/>
  <c r="I36" i="4"/>
  <c r="D36" i="4"/>
  <c r="E36" i="4" s="1"/>
  <c r="I35" i="4"/>
  <c r="D35" i="4"/>
  <c r="E35" i="4" s="1"/>
  <c r="I34" i="4"/>
  <c r="D34" i="4"/>
  <c r="E34" i="4" s="1"/>
  <c r="I33" i="4"/>
  <c r="D33" i="4"/>
  <c r="E33" i="4" s="1"/>
  <c r="I32" i="4"/>
  <c r="D32" i="4"/>
  <c r="E32" i="4" s="1"/>
  <c r="I31" i="4"/>
  <c r="E31" i="4"/>
  <c r="D31" i="4"/>
  <c r="I30" i="4"/>
  <c r="E30" i="4"/>
  <c r="D30" i="4"/>
  <c r="I29" i="4"/>
  <c r="D29" i="4"/>
  <c r="E29" i="4" s="1"/>
  <c r="I28" i="4"/>
  <c r="D28" i="4"/>
  <c r="E28" i="4" s="1"/>
  <c r="I27" i="4"/>
  <c r="E27" i="4"/>
  <c r="D27" i="4"/>
  <c r="I26" i="4"/>
  <c r="D26" i="4"/>
  <c r="E26" i="4" s="1"/>
  <c r="I25" i="4"/>
  <c r="E25" i="4"/>
  <c r="D25" i="4"/>
  <c r="I24" i="4"/>
  <c r="D24" i="4"/>
  <c r="E24" i="4" s="1"/>
  <c r="I23" i="4"/>
  <c r="D23" i="4"/>
  <c r="E23" i="4" s="1"/>
  <c r="I22" i="4"/>
  <c r="D22" i="4"/>
  <c r="E22" i="4" s="1"/>
  <c r="I21" i="4"/>
  <c r="D21" i="4"/>
  <c r="E21" i="4" s="1"/>
  <c r="I20" i="4"/>
  <c r="D20" i="4"/>
  <c r="E20" i="4" s="1"/>
  <c r="I19" i="4"/>
  <c r="E19" i="4"/>
  <c r="D19" i="4"/>
  <c r="I18" i="4"/>
  <c r="E18" i="4"/>
  <c r="D18" i="4"/>
  <c r="I17" i="4"/>
  <c r="D17" i="4"/>
  <c r="E17" i="4" s="1"/>
  <c r="F5" i="4" s="1"/>
  <c r="G5" i="4" s="1"/>
  <c r="I16" i="4"/>
  <c r="D16" i="4"/>
  <c r="E16" i="4" s="1"/>
  <c r="I15" i="4"/>
  <c r="D15" i="4"/>
  <c r="E15" i="4" s="1"/>
  <c r="I14" i="4"/>
  <c r="D14" i="4"/>
  <c r="E14" i="4" s="1"/>
  <c r="I13" i="4"/>
  <c r="D13" i="4"/>
  <c r="E13" i="4" s="1"/>
  <c r="I12" i="4"/>
  <c r="D12" i="4"/>
  <c r="E12" i="4" s="1"/>
  <c r="I11" i="4"/>
  <c r="D11" i="4"/>
  <c r="E11" i="4" s="1"/>
  <c r="F11" i="4" s="1"/>
  <c r="G11" i="4" s="1"/>
  <c r="I10" i="4"/>
  <c r="D10" i="4"/>
  <c r="E10" i="4" s="1"/>
  <c r="I9" i="4"/>
  <c r="D9" i="4"/>
  <c r="E9" i="4" s="1"/>
  <c r="I8" i="4"/>
  <c r="I7" i="4"/>
  <c r="I6" i="4"/>
  <c r="I5" i="4"/>
  <c r="I4" i="4"/>
  <c r="I3" i="4"/>
  <c r="A14" i="3"/>
  <c r="A13" i="3"/>
  <c r="A12" i="3"/>
  <c r="A11" i="3"/>
  <c r="A10" i="3"/>
  <c r="A9" i="3"/>
  <c r="A8" i="3"/>
  <c r="A7" i="3"/>
  <c r="A6" i="3"/>
  <c r="A5" i="3"/>
  <c r="A4" i="3"/>
  <c r="A3" i="3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D56" i="2"/>
  <c r="E56" i="2" s="1"/>
  <c r="I55" i="2"/>
  <c r="D55" i="2"/>
  <c r="E55" i="2" s="1"/>
  <c r="I54" i="2"/>
  <c r="D54" i="2"/>
  <c r="E54" i="2" s="1"/>
  <c r="I53" i="2"/>
  <c r="D53" i="2"/>
  <c r="E53" i="2" s="1"/>
  <c r="I52" i="2"/>
  <c r="E52" i="2"/>
  <c r="D52" i="2"/>
  <c r="I51" i="2"/>
  <c r="E51" i="2"/>
  <c r="D51" i="2"/>
  <c r="I50" i="2"/>
  <c r="D50" i="2"/>
  <c r="E50" i="2" s="1"/>
  <c r="I49" i="2"/>
  <c r="D49" i="2"/>
  <c r="E49" i="2" s="1"/>
  <c r="I48" i="2"/>
  <c r="E48" i="2"/>
  <c r="D48" i="2"/>
  <c r="I47" i="2"/>
  <c r="D47" i="2"/>
  <c r="E47" i="2" s="1"/>
  <c r="I46" i="2"/>
  <c r="E46" i="2"/>
  <c r="D46" i="2"/>
  <c r="I45" i="2"/>
  <c r="D45" i="2"/>
  <c r="E45" i="2" s="1"/>
  <c r="I44" i="2"/>
  <c r="D44" i="2"/>
  <c r="E44" i="2" s="1"/>
  <c r="F8" i="2" s="1"/>
  <c r="I43" i="2"/>
  <c r="D43" i="2"/>
  <c r="E43" i="2" s="1"/>
  <c r="I42" i="2"/>
  <c r="D42" i="2"/>
  <c r="E42" i="2" s="1"/>
  <c r="I41" i="2"/>
  <c r="D41" i="2"/>
  <c r="E41" i="2" s="1"/>
  <c r="I40" i="2"/>
  <c r="E40" i="2"/>
  <c r="D40" i="2"/>
  <c r="I39" i="2"/>
  <c r="E39" i="2"/>
  <c r="D39" i="2"/>
  <c r="I38" i="2"/>
  <c r="D38" i="2"/>
  <c r="E38" i="2" s="1"/>
  <c r="I37" i="2"/>
  <c r="D37" i="2"/>
  <c r="E37" i="2" s="1"/>
  <c r="I36" i="2"/>
  <c r="E36" i="2"/>
  <c r="D36" i="2"/>
  <c r="I35" i="2"/>
  <c r="D35" i="2"/>
  <c r="E35" i="2" s="1"/>
  <c r="I34" i="2"/>
  <c r="E34" i="2"/>
  <c r="D34" i="2"/>
  <c r="I33" i="2"/>
  <c r="D33" i="2"/>
  <c r="E33" i="2" s="1"/>
  <c r="I32" i="2"/>
  <c r="D32" i="2"/>
  <c r="E32" i="2" s="1"/>
  <c r="I31" i="2"/>
  <c r="E31" i="2"/>
  <c r="D31" i="2"/>
  <c r="I30" i="2"/>
  <c r="E30" i="2"/>
  <c r="F6" i="2" s="1"/>
  <c r="D30" i="2"/>
  <c r="I29" i="2"/>
  <c r="D29" i="2"/>
  <c r="E29" i="2" s="1"/>
  <c r="I28" i="2"/>
  <c r="E28" i="2"/>
  <c r="D28" i="2"/>
  <c r="I27" i="2"/>
  <c r="E27" i="2"/>
  <c r="D27" i="2"/>
  <c r="I26" i="2"/>
  <c r="D26" i="2"/>
  <c r="E26" i="2" s="1"/>
  <c r="I25" i="2"/>
  <c r="E25" i="2"/>
  <c r="D25" i="2"/>
  <c r="I24" i="2"/>
  <c r="E24" i="2"/>
  <c r="D24" i="2"/>
  <c r="I23" i="2"/>
  <c r="D23" i="2"/>
  <c r="E23" i="2" s="1"/>
  <c r="I22" i="2"/>
  <c r="D22" i="2"/>
  <c r="E22" i="2" s="1"/>
  <c r="I21" i="2"/>
  <c r="D21" i="2"/>
  <c r="E21" i="2" s="1"/>
  <c r="I20" i="2"/>
  <c r="E20" i="2"/>
  <c r="D20" i="2"/>
  <c r="I19" i="2"/>
  <c r="D19" i="2"/>
  <c r="E19" i="2" s="1"/>
  <c r="F7" i="2" s="1"/>
  <c r="I18" i="2"/>
  <c r="E18" i="2"/>
  <c r="D18" i="2"/>
  <c r="I17" i="2"/>
  <c r="E17" i="2"/>
  <c r="D17" i="2"/>
  <c r="I16" i="2"/>
  <c r="D16" i="2"/>
  <c r="E16" i="2" s="1"/>
  <c r="F4" i="2" s="1"/>
  <c r="I15" i="2"/>
  <c r="D15" i="2"/>
  <c r="E15" i="2" s="1"/>
  <c r="F3" i="2" s="1"/>
  <c r="I14" i="2"/>
  <c r="E14" i="2"/>
  <c r="F14" i="2" s="1"/>
  <c r="D14" i="2"/>
  <c r="I13" i="2"/>
  <c r="D13" i="2"/>
  <c r="E13" i="2" s="1"/>
  <c r="F13" i="2" s="1"/>
  <c r="I12" i="2"/>
  <c r="D12" i="2"/>
  <c r="E12" i="2" s="1"/>
  <c r="F12" i="2" s="1"/>
  <c r="I11" i="2"/>
  <c r="D11" i="2"/>
  <c r="E11" i="2" s="1"/>
  <c r="F11" i="2" s="1"/>
  <c r="I10" i="2"/>
  <c r="D10" i="2"/>
  <c r="E10" i="2" s="1"/>
  <c r="F10" i="2" s="1"/>
  <c r="G10" i="2" s="1"/>
  <c r="I9" i="2"/>
  <c r="D9" i="2"/>
  <c r="E9" i="2" s="1"/>
  <c r="F9" i="2" s="1"/>
  <c r="I8" i="2"/>
  <c r="I7" i="2"/>
  <c r="I6" i="2"/>
  <c r="I5" i="2"/>
  <c r="F5" i="2"/>
  <c r="I4" i="2"/>
  <c r="I3" i="2"/>
  <c r="G14" i="2" l="1"/>
  <c r="G9" i="2"/>
  <c r="G8" i="2"/>
  <c r="G7" i="2"/>
  <c r="F15" i="2"/>
  <c r="G3" i="2"/>
  <c r="G58" i="2"/>
  <c r="G70" i="2"/>
  <c r="G46" i="2"/>
  <c r="G34" i="2"/>
  <c r="G22" i="2"/>
  <c r="J10" i="2"/>
  <c r="H10" i="2"/>
  <c r="G6" i="2"/>
  <c r="G11" i="2"/>
  <c r="G12" i="2"/>
  <c r="G5" i="2"/>
  <c r="G4" i="2"/>
  <c r="G13" i="2"/>
  <c r="F12" i="4"/>
  <c r="G12" i="4" s="1"/>
  <c r="F7" i="4"/>
  <c r="G7" i="4" s="1"/>
  <c r="J12" i="4"/>
  <c r="F6" i="4"/>
  <c r="G6" i="4" s="1"/>
  <c r="J5" i="4"/>
  <c r="G53" i="4"/>
  <c r="H53" i="4" s="1"/>
  <c r="G41" i="4"/>
  <c r="G29" i="4"/>
  <c r="G17" i="4"/>
  <c r="H5" i="4"/>
  <c r="G65" i="4"/>
  <c r="J11" i="4"/>
  <c r="F13" i="4"/>
  <c r="G13" i="4" s="1"/>
  <c r="J13" i="4" s="1"/>
  <c r="F14" i="4"/>
  <c r="G14" i="4" s="1"/>
  <c r="F9" i="4"/>
  <c r="G9" i="4" s="1"/>
  <c r="F3" i="4"/>
  <c r="F8" i="4"/>
  <c r="G8" i="4" s="1"/>
  <c r="J8" i="4" s="1"/>
  <c r="F10" i="4"/>
  <c r="G10" i="4" s="1"/>
  <c r="J10" i="4" s="1"/>
  <c r="F4" i="4"/>
  <c r="G4" i="4" s="1"/>
  <c r="H11" i="4"/>
  <c r="G59" i="4"/>
  <c r="H59" i="4" s="1"/>
  <c r="G47" i="4"/>
  <c r="G35" i="4"/>
  <c r="G23" i="4"/>
  <c r="G71" i="4"/>
  <c r="O8" i="4" l="1"/>
  <c r="N8" i="4"/>
  <c r="K8" i="4"/>
  <c r="O13" i="4"/>
  <c r="N13" i="4"/>
  <c r="K13" i="4"/>
  <c r="O10" i="4"/>
  <c r="N10" i="4"/>
  <c r="K10" i="4"/>
  <c r="K10" i="2"/>
  <c r="O10" i="2"/>
  <c r="N10" i="2"/>
  <c r="G62" i="4"/>
  <c r="G50" i="4"/>
  <c r="G38" i="4"/>
  <c r="G26" i="4"/>
  <c r="H14" i="4"/>
  <c r="G74" i="4"/>
  <c r="J74" i="4" s="1"/>
  <c r="J34" i="2"/>
  <c r="H34" i="2"/>
  <c r="H12" i="4"/>
  <c r="G60" i="4"/>
  <c r="G72" i="4"/>
  <c r="G48" i="4"/>
  <c r="G36" i="4"/>
  <c r="G24" i="4"/>
  <c r="J46" i="2"/>
  <c r="H46" i="2"/>
  <c r="H22" i="2"/>
  <c r="J22" i="2"/>
  <c r="J53" i="4"/>
  <c r="H9" i="4"/>
  <c r="G69" i="4"/>
  <c r="G45" i="4"/>
  <c r="G33" i="4"/>
  <c r="G21" i="4"/>
  <c r="G57" i="4"/>
  <c r="J70" i="2"/>
  <c r="B11" i="3"/>
  <c r="D11" i="3" s="1"/>
  <c r="O11" i="4"/>
  <c r="N11" i="4"/>
  <c r="K11" i="4"/>
  <c r="N5" i="4"/>
  <c r="K5" i="4"/>
  <c r="O5" i="4"/>
  <c r="G61" i="2"/>
  <c r="G49" i="2"/>
  <c r="G37" i="2"/>
  <c r="G25" i="2"/>
  <c r="G73" i="2"/>
  <c r="J13" i="2"/>
  <c r="H13" i="2"/>
  <c r="J58" i="2"/>
  <c r="H58" i="2"/>
  <c r="G67" i="4"/>
  <c r="G55" i="4"/>
  <c r="G43" i="4"/>
  <c r="G31" i="4"/>
  <c r="G19" i="4"/>
  <c r="H7" i="4"/>
  <c r="G58" i="4"/>
  <c r="H10" i="4"/>
  <c r="G70" i="4"/>
  <c r="G46" i="4"/>
  <c r="G34" i="4"/>
  <c r="G22" i="4"/>
  <c r="G53" i="2"/>
  <c r="G41" i="2"/>
  <c r="G29" i="2"/>
  <c r="G65" i="2"/>
  <c r="G17" i="2"/>
  <c r="J5" i="2"/>
  <c r="H5" i="2"/>
  <c r="G67" i="2"/>
  <c r="G55" i="2"/>
  <c r="G43" i="2"/>
  <c r="H7" i="2"/>
  <c r="J7" i="2"/>
  <c r="G31" i="2"/>
  <c r="G19" i="2"/>
  <c r="G64" i="4"/>
  <c r="G52" i="4"/>
  <c r="G40" i="4"/>
  <c r="G28" i="4"/>
  <c r="G16" i="4"/>
  <c r="J4" i="4"/>
  <c r="H4" i="4"/>
  <c r="J7" i="4"/>
  <c r="G64" i="2"/>
  <c r="G52" i="2"/>
  <c r="G40" i="2"/>
  <c r="G28" i="2"/>
  <c r="H4" i="2"/>
  <c r="J4" i="2"/>
  <c r="G16" i="2"/>
  <c r="B12" i="5"/>
  <c r="D12" i="5" s="1"/>
  <c r="J71" i="4"/>
  <c r="J23" i="4"/>
  <c r="H23" i="4"/>
  <c r="G48" i="2"/>
  <c r="G36" i="2"/>
  <c r="G60" i="2"/>
  <c r="G72" i="2"/>
  <c r="J12" i="2"/>
  <c r="G24" i="2"/>
  <c r="H12" i="2"/>
  <c r="J35" i="4"/>
  <c r="H35" i="4"/>
  <c r="J14" i="4"/>
  <c r="J17" i="4"/>
  <c r="H17" i="4"/>
  <c r="G47" i="2"/>
  <c r="G35" i="2"/>
  <c r="G71" i="2"/>
  <c r="G59" i="2"/>
  <c r="J11" i="2"/>
  <c r="H11" i="2"/>
  <c r="G23" i="2"/>
  <c r="G56" i="2"/>
  <c r="G44" i="2"/>
  <c r="G32" i="2"/>
  <c r="G68" i="2"/>
  <c r="J8" i="2"/>
  <c r="H8" i="2"/>
  <c r="G20" i="2"/>
  <c r="O12" i="4"/>
  <c r="N12" i="4"/>
  <c r="K12" i="4"/>
  <c r="G3" i="4"/>
  <c r="F15" i="4"/>
  <c r="G51" i="2"/>
  <c r="G39" i="2"/>
  <c r="G27" i="2"/>
  <c r="G15" i="2"/>
  <c r="G63" i="2"/>
  <c r="J3" i="2"/>
  <c r="H3" i="2"/>
  <c r="J65" i="4"/>
  <c r="B6" i="5"/>
  <c r="D6" i="5" s="1"/>
  <c r="J47" i="4"/>
  <c r="H47" i="4"/>
  <c r="J9" i="4"/>
  <c r="J29" i="4"/>
  <c r="H29" i="4"/>
  <c r="G66" i="2"/>
  <c r="G54" i="2"/>
  <c r="G42" i="2"/>
  <c r="G30" i="2"/>
  <c r="G18" i="2"/>
  <c r="J6" i="2"/>
  <c r="H6" i="2"/>
  <c r="G57" i="2"/>
  <c r="G69" i="2"/>
  <c r="G45" i="2"/>
  <c r="G33" i="2"/>
  <c r="J9" i="2"/>
  <c r="H9" i="2"/>
  <c r="G21" i="2"/>
  <c r="H8" i="4"/>
  <c r="G56" i="4"/>
  <c r="G44" i="4"/>
  <c r="G32" i="4"/>
  <c r="G20" i="4"/>
  <c r="G68" i="4"/>
  <c r="H13" i="4"/>
  <c r="G73" i="4"/>
  <c r="G61" i="4"/>
  <c r="G49" i="4"/>
  <c r="G37" i="4"/>
  <c r="G25" i="4"/>
  <c r="J59" i="4"/>
  <c r="J41" i="4"/>
  <c r="H41" i="4"/>
  <c r="G66" i="4"/>
  <c r="G54" i="4"/>
  <c r="G42" i="4"/>
  <c r="G30" i="4"/>
  <c r="G18" i="4"/>
  <c r="J6" i="4"/>
  <c r="H6" i="4"/>
  <c r="G62" i="2"/>
  <c r="G50" i="2"/>
  <c r="G38" i="2"/>
  <c r="G74" i="2"/>
  <c r="J74" i="2" s="1"/>
  <c r="G26" i="2"/>
  <c r="J14" i="2"/>
  <c r="H14" i="2"/>
  <c r="J39" i="2" l="1"/>
  <c r="H39" i="2"/>
  <c r="H21" i="4"/>
  <c r="J21" i="4"/>
  <c r="O29" i="4"/>
  <c r="N29" i="4"/>
  <c r="K29" i="4"/>
  <c r="H40" i="4"/>
  <c r="J40" i="4"/>
  <c r="B14" i="5"/>
  <c r="D14" i="5" s="1"/>
  <c r="J73" i="4"/>
  <c r="H60" i="4"/>
  <c r="J60" i="4"/>
  <c r="H3" i="4"/>
  <c r="G51" i="4"/>
  <c r="G39" i="4"/>
  <c r="G27" i="4"/>
  <c r="G15" i="4"/>
  <c r="G63" i="4"/>
  <c r="J3" i="4"/>
  <c r="F6" i="5"/>
  <c r="E6" i="5"/>
  <c r="J31" i="2"/>
  <c r="H31" i="2"/>
  <c r="J53" i="2"/>
  <c r="H53" i="2"/>
  <c r="B8" i="5"/>
  <c r="D8" i="5" s="1"/>
  <c r="J67" i="4"/>
  <c r="O53" i="4"/>
  <c r="N53" i="4"/>
  <c r="K53" i="4"/>
  <c r="O34" i="2"/>
  <c r="N34" i="2"/>
  <c r="K34" i="2"/>
  <c r="J44" i="2"/>
  <c r="H44" i="2"/>
  <c r="H28" i="4"/>
  <c r="J28" i="4"/>
  <c r="H45" i="4"/>
  <c r="J45" i="4"/>
  <c r="L11" i="4"/>
  <c r="H19" i="2"/>
  <c r="J19" i="2"/>
  <c r="H55" i="4"/>
  <c r="J55" i="4"/>
  <c r="J59" i="2"/>
  <c r="H59" i="2"/>
  <c r="B7" i="5"/>
  <c r="D7" i="5" s="1"/>
  <c r="J66" i="4"/>
  <c r="N7" i="2"/>
  <c r="O7" i="2"/>
  <c r="K7" i="2"/>
  <c r="J22" i="4"/>
  <c r="H22" i="4"/>
  <c r="M11" i="4"/>
  <c r="L12" i="4"/>
  <c r="M12" i="4" s="1"/>
  <c r="N22" i="2"/>
  <c r="K22" i="2"/>
  <c r="O22" i="2"/>
  <c r="K9" i="2"/>
  <c r="N9" i="2"/>
  <c r="O9" i="2"/>
  <c r="O5" i="2"/>
  <c r="N5" i="2"/>
  <c r="K5" i="2"/>
  <c r="O6" i="4"/>
  <c r="N6" i="4"/>
  <c r="K6" i="4"/>
  <c r="O35" i="4"/>
  <c r="N35" i="4"/>
  <c r="K35" i="4"/>
  <c r="H17" i="2"/>
  <c r="J17" i="2"/>
  <c r="J65" i="2"/>
  <c r="B6" i="3"/>
  <c r="D6" i="3" s="1"/>
  <c r="J57" i="2"/>
  <c r="H57" i="2"/>
  <c r="H20" i="4"/>
  <c r="J20" i="4"/>
  <c r="H26" i="2"/>
  <c r="J26" i="2"/>
  <c r="J18" i="2"/>
  <c r="H18" i="2"/>
  <c r="H36" i="2"/>
  <c r="J36" i="2"/>
  <c r="J34" i="4"/>
  <c r="H34" i="4"/>
  <c r="O58" i="2"/>
  <c r="N58" i="2"/>
  <c r="K58" i="2"/>
  <c r="J49" i="4"/>
  <c r="H49" i="4"/>
  <c r="J51" i="2"/>
  <c r="H51" i="2"/>
  <c r="H49" i="2"/>
  <c r="J49" i="2"/>
  <c r="H18" i="4"/>
  <c r="J18" i="4"/>
  <c r="H23" i="2"/>
  <c r="J23" i="2"/>
  <c r="J31" i="4"/>
  <c r="H31" i="4"/>
  <c r="H30" i="4"/>
  <c r="J30" i="4"/>
  <c r="J24" i="2"/>
  <c r="H24" i="2"/>
  <c r="J43" i="4"/>
  <c r="H43" i="4"/>
  <c r="K14" i="2"/>
  <c r="O14" i="2"/>
  <c r="N14" i="2"/>
  <c r="J60" i="2"/>
  <c r="H60" i="2"/>
  <c r="H44" i="4"/>
  <c r="J44" i="4"/>
  <c r="J20" i="2"/>
  <c r="H20" i="2"/>
  <c r="J35" i="2"/>
  <c r="H35" i="2"/>
  <c r="O41" i="4"/>
  <c r="N41" i="4"/>
  <c r="K41" i="4"/>
  <c r="H56" i="4"/>
  <c r="J56" i="4"/>
  <c r="J30" i="2"/>
  <c r="H30" i="2"/>
  <c r="K3" i="2"/>
  <c r="L4" i="2" s="1"/>
  <c r="N3" i="2"/>
  <c r="O3" i="2"/>
  <c r="J47" i="2"/>
  <c r="H47" i="2"/>
  <c r="H48" i="2"/>
  <c r="J48" i="2"/>
  <c r="O7" i="4"/>
  <c r="N7" i="4"/>
  <c r="K7" i="4"/>
  <c r="J43" i="2"/>
  <c r="H43" i="2"/>
  <c r="J46" i="4"/>
  <c r="H46" i="4"/>
  <c r="H26" i="4"/>
  <c r="J26" i="4"/>
  <c r="H48" i="4"/>
  <c r="J48" i="4"/>
  <c r="J33" i="2"/>
  <c r="H33" i="2"/>
  <c r="H16" i="2"/>
  <c r="J16" i="2"/>
  <c r="J72" i="4"/>
  <c r="B13" i="5"/>
  <c r="D13" i="5" s="1"/>
  <c r="O4" i="2"/>
  <c r="N4" i="2"/>
  <c r="K4" i="2"/>
  <c r="J61" i="2"/>
  <c r="H61" i="2"/>
  <c r="H42" i="4"/>
  <c r="J42" i="4"/>
  <c r="K12" i="2"/>
  <c r="L11" i="2" s="1"/>
  <c r="O12" i="2"/>
  <c r="N12" i="2"/>
  <c r="L6" i="4"/>
  <c r="J52" i="2"/>
  <c r="H52" i="2"/>
  <c r="O59" i="4"/>
  <c r="N59" i="4"/>
  <c r="K59" i="4"/>
  <c r="J55" i="2"/>
  <c r="H55" i="2"/>
  <c r="B11" i="5"/>
  <c r="D11" i="5" s="1"/>
  <c r="J70" i="4"/>
  <c r="K13" i="2"/>
  <c r="O13" i="2"/>
  <c r="N13" i="2"/>
  <c r="F11" i="3"/>
  <c r="E11" i="3"/>
  <c r="O46" i="2"/>
  <c r="N46" i="2"/>
  <c r="K46" i="2"/>
  <c r="H38" i="4"/>
  <c r="J38" i="4"/>
  <c r="L9" i="4"/>
  <c r="F12" i="5"/>
  <c r="E12" i="5"/>
  <c r="H37" i="2"/>
  <c r="J37" i="2"/>
  <c r="J61" i="4"/>
  <c r="H61" i="4"/>
  <c r="H33" i="4"/>
  <c r="J33" i="4"/>
  <c r="J45" i="2"/>
  <c r="H45" i="2"/>
  <c r="H52" i="4"/>
  <c r="J52" i="4"/>
  <c r="H29" i="2"/>
  <c r="J29" i="2"/>
  <c r="O47" i="4"/>
  <c r="N47" i="4"/>
  <c r="K47" i="4"/>
  <c r="J40" i="2"/>
  <c r="H40" i="2"/>
  <c r="O6" i="2"/>
  <c r="N6" i="2"/>
  <c r="K6" i="2"/>
  <c r="J64" i="2"/>
  <c r="B5" i="3"/>
  <c r="D5" i="3" s="1"/>
  <c r="J38" i="2"/>
  <c r="H38" i="2"/>
  <c r="J42" i="2"/>
  <c r="H42" i="2"/>
  <c r="J63" i="2"/>
  <c r="B4" i="3"/>
  <c r="D4" i="3" s="1"/>
  <c r="K8" i="2"/>
  <c r="N8" i="2"/>
  <c r="O8" i="2"/>
  <c r="J50" i="2"/>
  <c r="H50" i="2"/>
  <c r="H25" i="4"/>
  <c r="J25" i="4"/>
  <c r="J21" i="2"/>
  <c r="H21" i="2"/>
  <c r="J54" i="2"/>
  <c r="H54" i="2"/>
  <c r="J15" i="2"/>
  <c r="H15" i="2"/>
  <c r="B9" i="3"/>
  <c r="D9" i="3" s="1"/>
  <c r="J68" i="2"/>
  <c r="O17" i="4"/>
  <c r="N17" i="4"/>
  <c r="K17" i="4"/>
  <c r="O23" i="4"/>
  <c r="N23" i="4"/>
  <c r="K23" i="4"/>
  <c r="K4" i="4"/>
  <c r="O4" i="4"/>
  <c r="N4" i="4"/>
  <c r="B8" i="3"/>
  <c r="D8" i="3" s="1"/>
  <c r="J67" i="2"/>
  <c r="B14" i="3"/>
  <c r="D14" i="3" s="1"/>
  <c r="J73" i="2"/>
  <c r="J24" i="4"/>
  <c r="H24" i="4"/>
  <c r="J50" i="4"/>
  <c r="H50" i="4"/>
  <c r="J56" i="2"/>
  <c r="H56" i="2"/>
  <c r="J19" i="4"/>
  <c r="H19" i="4"/>
  <c r="O9" i="4"/>
  <c r="N9" i="4"/>
  <c r="K9" i="4"/>
  <c r="B10" i="3"/>
  <c r="D10" i="3" s="1"/>
  <c r="J69" i="2"/>
  <c r="B5" i="5"/>
  <c r="D5" i="5" s="1"/>
  <c r="J64" i="4"/>
  <c r="B10" i="5"/>
  <c r="D10" i="5" s="1"/>
  <c r="J69" i="4"/>
  <c r="B9" i="5"/>
  <c r="D9" i="5" s="1"/>
  <c r="J68" i="4"/>
  <c r="K11" i="2"/>
  <c r="O11" i="2"/>
  <c r="N11" i="2"/>
  <c r="J28" i="2"/>
  <c r="H28" i="2"/>
  <c r="J41" i="2"/>
  <c r="H41" i="2"/>
  <c r="J54" i="4"/>
  <c r="H54" i="4"/>
  <c r="J72" i="2"/>
  <c r="B13" i="3"/>
  <c r="D13" i="3" s="1"/>
  <c r="H32" i="4"/>
  <c r="J32" i="4"/>
  <c r="J71" i="2"/>
  <c r="B12" i="3"/>
  <c r="D12" i="3" s="1"/>
  <c r="J62" i="2"/>
  <c r="B3" i="3"/>
  <c r="D3" i="3" s="1"/>
  <c r="H62" i="2"/>
  <c r="H37" i="4"/>
  <c r="J37" i="4"/>
  <c r="B7" i="3"/>
  <c r="D7" i="3" s="1"/>
  <c r="J66" i="2"/>
  <c r="J27" i="2"/>
  <c r="H27" i="2"/>
  <c r="J32" i="2"/>
  <c r="H32" i="2"/>
  <c r="O14" i="4"/>
  <c r="N14" i="4"/>
  <c r="K14" i="4"/>
  <c r="H16" i="4"/>
  <c r="J16" i="4"/>
  <c r="J58" i="4"/>
  <c r="H58" i="4"/>
  <c r="H25" i="2"/>
  <c r="J25" i="2"/>
  <c r="J57" i="4"/>
  <c r="H57" i="4"/>
  <c r="J36" i="4"/>
  <c r="H36" i="4"/>
  <c r="J62" i="4"/>
  <c r="B3" i="5"/>
  <c r="D3" i="5" s="1"/>
  <c r="H62" i="4"/>
  <c r="N54" i="2" l="1"/>
  <c r="K54" i="2"/>
  <c r="O54" i="2"/>
  <c r="K20" i="4"/>
  <c r="O20" i="4"/>
  <c r="N20" i="4"/>
  <c r="K54" i="4"/>
  <c r="O54" i="4"/>
  <c r="N54" i="4"/>
  <c r="K29" i="2"/>
  <c r="O29" i="2"/>
  <c r="N29" i="2"/>
  <c r="O43" i="2"/>
  <c r="N43" i="2"/>
  <c r="K43" i="2"/>
  <c r="N30" i="2"/>
  <c r="K30" i="2"/>
  <c r="O30" i="2"/>
  <c r="K31" i="4"/>
  <c r="O31" i="4"/>
  <c r="N31" i="4"/>
  <c r="M5" i="2"/>
  <c r="L6" i="2"/>
  <c r="M6" i="2" s="1"/>
  <c r="K19" i="2"/>
  <c r="O19" i="2"/>
  <c r="N19" i="2"/>
  <c r="F14" i="5"/>
  <c r="E14" i="5"/>
  <c r="K41" i="2"/>
  <c r="O41" i="2"/>
  <c r="N41" i="2"/>
  <c r="O50" i="4"/>
  <c r="N50" i="4"/>
  <c r="K50" i="4"/>
  <c r="O25" i="4"/>
  <c r="N25" i="4"/>
  <c r="K25" i="4"/>
  <c r="O38" i="2"/>
  <c r="N38" i="2"/>
  <c r="K38" i="2"/>
  <c r="L14" i="2"/>
  <c r="O16" i="2"/>
  <c r="N16" i="2"/>
  <c r="K16" i="2"/>
  <c r="L15" i="2" s="1"/>
  <c r="L8" i="4"/>
  <c r="M8" i="4" s="1"/>
  <c r="K56" i="4"/>
  <c r="O56" i="4"/>
  <c r="N56" i="4"/>
  <c r="O60" i="2"/>
  <c r="N60" i="2"/>
  <c r="K60" i="2"/>
  <c r="O23" i="2"/>
  <c r="N23" i="2"/>
  <c r="K23" i="2"/>
  <c r="O57" i="2"/>
  <c r="N57" i="2"/>
  <c r="K57" i="2"/>
  <c r="O40" i="4"/>
  <c r="N40" i="4"/>
  <c r="K40" i="4"/>
  <c r="K44" i="4"/>
  <c r="O44" i="4"/>
  <c r="N44" i="4"/>
  <c r="L24" i="4"/>
  <c r="F5" i="5"/>
  <c r="E5" i="5"/>
  <c r="E10" i="3"/>
  <c r="F10" i="3"/>
  <c r="O52" i="4"/>
  <c r="N52" i="4"/>
  <c r="K52" i="4"/>
  <c r="F11" i="5"/>
  <c r="E11" i="5"/>
  <c r="O34" i="4"/>
  <c r="N34" i="4"/>
  <c r="K34" i="4"/>
  <c r="L8" i="2"/>
  <c r="M7" i="2"/>
  <c r="K42" i="4"/>
  <c r="O42" i="4"/>
  <c r="N42" i="4"/>
  <c r="O33" i="2"/>
  <c r="N33" i="2"/>
  <c r="K33" i="2"/>
  <c r="O48" i="2"/>
  <c r="N48" i="2"/>
  <c r="K48" i="2"/>
  <c r="M14" i="2"/>
  <c r="O36" i="2"/>
  <c r="N36" i="2"/>
  <c r="K36" i="2"/>
  <c r="N17" i="2"/>
  <c r="O17" i="2"/>
  <c r="K17" i="2"/>
  <c r="H15" i="4"/>
  <c r="J15" i="4"/>
  <c r="F10" i="5"/>
  <c r="E10" i="5"/>
  <c r="K55" i="4"/>
  <c r="O55" i="4"/>
  <c r="N55" i="4"/>
  <c r="O37" i="4"/>
  <c r="N37" i="4"/>
  <c r="K37" i="4"/>
  <c r="N42" i="2"/>
  <c r="K42" i="2"/>
  <c r="O42" i="2"/>
  <c r="O22" i="4"/>
  <c r="N22" i="4"/>
  <c r="K22" i="4"/>
  <c r="L13" i="2"/>
  <c r="M13" i="2" s="1"/>
  <c r="M12" i="2"/>
  <c r="O48" i="4"/>
  <c r="N48" i="4"/>
  <c r="K48" i="4"/>
  <c r="O49" i="2"/>
  <c r="N49" i="2"/>
  <c r="K49" i="2"/>
  <c r="L10" i="2"/>
  <c r="M10" i="2" s="1"/>
  <c r="H27" i="4"/>
  <c r="J27" i="4"/>
  <c r="L5" i="4"/>
  <c r="M5" i="4" s="1"/>
  <c r="K52" i="2"/>
  <c r="O52" i="2"/>
  <c r="N52" i="2"/>
  <c r="F13" i="5"/>
  <c r="E13" i="5"/>
  <c r="F5" i="3"/>
  <c r="E5" i="3"/>
  <c r="L13" i="4"/>
  <c r="M13" i="4" s="1"/>
  <c r="O50" i="2"/>
  <c r="N50" i="2"/>
  <c r="K50" i="2"/>
  <c r="N33" i="4"/>
  <c r="K33" i="4"/>
  <c r="O33" i="4"/>
  <c r="K43" i="4"/>
  <c r="O43" i="4"/>
  <c r="N43" i="4"/>
  <c r="L36" i="4"/>
  <c r="N45" i="4"/>
  <c r="K45" i="4"/>
  <c r="O45" i="4"/>
  <c r="H39" i="4"/>
  <c r="J39" i="4"/>
  <c r="N21" i="4"/>
  <c r="K21" i="4"/>
  <c r="O21" i="4"/>
  <c r="O37" i="2"/>
  <c r="N37" i="2"/>
  <c r="K37" i="2"/>
  <c r="O58" i="4"/>
  <c r="N58" i="4"/>
  <c r="K58" i="4"/>
  <c r="O31" i="2"/>
  <c r="N31" i="2"/>
  <c r="K31" i="2"/>
  <c r="F6" i="3"/>
  <c r="E6" i="3"/>
  <c r="O3" i="4"/>
  <c r="N3" i="4"/>
  <c r="K3" i="4"/>
  <c r="L4" i="4" s="1"/>
  <c r="M4" i="4" s="1"/>
  <c r="O62" i="2"/>
  <c r="N62" i="2"/>
  <c r="K62" i="2"/>
  <c r="O24" i="4"/>
  <c r="N24" i="4"/>
  <c r="K24" i="4"/>
  <c r="K18" i="4"/>
  <c r="O18" i="4"/>
  <c r="N18" i="4"/>
  <c r="F12" i="3"/>
  <c r="E12" i="3"/>
  <c r="O55" i="2"/>
  <c r="N55" i="2"/>
  <c r="K55" i="2"/>
  <c r="K32" i="4"/>
  <c r="O32" i="4"/>
  <c r="N32" i="4"/>
  <c r="O57" i="4"/>
  <c r="N57" i="4"/>
  <c r="K57" i="4"/>
  <c r="F8" i="3"/>
  <c r="E8" i="3"/>
  <c r="L9" i="2"/>
  <c r="M9" i="2" s="1"/>
  <c r="M8" i="2"/>
  <c r="O61" i="2"/>
  <c r="N61" i="2"/>
  <c r="K61" i="2"/>
  <c r="O26" i="4"/>
  <c r="N26" i="4"/>
  <c r="K26" i="4"/>
  <c r="O47" i="2"/>
  <c r="N47" i="2"/>
  <c r="K47" i="2"/>
  <c r="O35" i="2"/>
  <c r="N35" i="2"/>
  <c r="K35" i="2"/>
  <c r="O18" i="2"/>
  <c r="N18" i="2"/>
  <c r="K18" i="2"/>
  <c r="E7" i="5"/>
  <c r="F7" i="5"/>
  <c r="F8" i="5"/>
  <c r="E8" i="5"/>
  <c r="H51" i="4"/>
  <c r="J51" i="4"/>
  <c r="F7" i="3"/>
  <c r="E7" i="3"/>
  <c r="O46" i="4"/>
  <c r="N46" i="4"/>
  <c r="K46" i="4"/>
  <c r="F3" i="3"/>
  <c r="E3" i="3"/>
  <c r="K28" i="2"/>
  <c r="N28" i="2"/>
  <c r="O28" i="2"/>
  <c r="B4" i="5"/>
  <c r="D4" i="5" s="1"/>
  <c r="J63" i="4"/>
  <c r="L7" i="2"/>
  <c r="O36" i="4"/>
  <c r="N36" i="4"/>
  <c r="K36" i="4"/>
  <c r="F14" i="3"/>
  <c r="E14" i="3"/>
  <c r="O32" i="2"/>
  <c r="N32" i="2"/>
  <c r="K32" i="2"/>
  <c r="M11" i="2"/>
  <c r="L12" i="2"/>
  <c r="F9" i="5"/>
  <c r="E9" i="5"/>
  <c r="N15" i="2"/>
  <c r="N63" i="2" s="1"/>
  <c r="N64" i="2" s="1"/>
  <c r="N65" i="2" s="1"/>
  <c r="N66" i="2" s="1"/>
  <c r="O15" i="2"/>
  <c r="K15" i="2"/>
  <c r="K40" i="2"/>
  <c r="O40" i="2"/>
  <c r="N40" i="2"/>
  <c r="M4" i="2"/>
  <c r="L5" i="2"/>
  <c r="O24" i="2"/>
  <c r="N24" i="2"/>
  <c r="K24" i="2"/>
  <c r="K51" i="2"/>
  <c r="O51" i="2"/>
  <c r="N51" i="2"/>
  <c r="O26" i="2"/>
  <c r="K26" i="2"/>
  <c r="N26" i="2"/>
  <c r="O28" i="4"/>
  <c r="N28" i="4"/>
  <c r="K28" i="4"/>
  <c r="O49" i="4"/>
  <c r="N49" i="4"/>
  <c r="K49" i="4"/>
  <c r="O56" i="2"/>
  <c r="N56" i="2"/>
  <c r="K56" i="2"/>
  <c r="O44" i="2"/>
  <c r="N44" i="2"/>
  <c r="K44" i="2"/>
  <c r="O16" i="4"/>
  <c r="N16" i="4"/>
  <c r="K16" i="4"/>
  <c r="O21" i="2"/>
  <c r="O63" i="2" s="1"/>
  <c r="N67" i="2" s="1"/>
  <c r="N21" i="2"/>
  <c r="K21" i="2"/>
  <c r="F3" i="5"/>
  <c r="E3" i="5"/>
  <c r="O62" i="4"/>
  <c r="N62" i="4"/>
  <c r="K62" i="4"/>
  <c r="L42" i="4"/>
  <c r="L30" i="4"/>
  <c r="O38" i="4"/>
  <c r="N38" i="4"/>
  <c r="K38" i="4"/>
  <c r="M9" i="4"/>
  <c r="L10" i="4"/>
  <c r="M10" i="4" s="1"/>
  <c r="O45" i="2"/>
  <c r="N45" i="2"/>
  <c r="K45" i="2"/>
  <c r="F9" i="3"/>
  <c r="E9" i="3"/>
  <c r="O25" i="2"/>
  <c r="N25" i="2"/>
  <c r="K25" i="2"/>
  <c r="O27" i="2"/>
  <c r="N27" i="2"/>
  <c r="K27" i="2"/>
  <c r="F13" i="3"/>
  <c r="E13" i="3"/>
  <c r="F4" i="3"/>
  <c r="E4" i="3"/>
  <c r="K19" i="4"/>
  <c r="O19" i="4"/>
  <c r="N19" i="4"/>
  <c r="O61" i="4"/>
  <c r="N61" i="4"/>
  <c r="K61" i="4"/>
  <c r="O20" i="2"/>
  <c r="N20" i="2"/>
  <c r="K20" i="2"/>
  <c r="K30" i="4"/>
  <c r="O30" i="4"/>
  <c r="N30" i="4"/>
  <c r="M6" i="4"/>
  <c r="L7" i="4"/>
  <c r="M7" i="4" s="1"/>
  <c r="K59" i="2"/>
  <c r="L59" i="2" s="1"/>
  <c r="O59" i="2"/>
  <c r="N59" i="2"/>
  <c r="K53" i="2"/>
  <c r="O53" i="2"/>
  <c r="N53" i="2"/>
  <c r="K60" i="4"/>
  <c r="L60" i="4" s="1"/>
  <c r="O60" i="4"/>
  <c r="N60" i="4"/>
  <c r="K39" i="2"/>
  <c r="O39" i="2"/>
  <c r="N39" i="2"/>
  <c r="L24" i="2" l="1"/>
  <c r="L56" i="4"/>
  <c r="L35" i="4"/>
  <c r="M35" i="4" s="1"/>
  <c r="L31" i="4"/>
  <c r="M30" i="4"/>
  <c r="L20" i="4"/>
  <c r="O51" i="4"/>
  <c r="N51" i="4"/>
  <c r="K51" i="4"/>
  <c r="L48" i="2"/>
  <c r="L23" i="4"/>
  <c r="M23" i="4" s="1"/>
  <c r="M48" i="2"/>
  <c r="L49" i="2"/>
  <c r="M49" i="2" s="1"/>
  <c r="L52" i="2"/>
  <c r="M51" i="2"/>
  <c r="L36" i="2"/>
  <c r="M36" i="2" s="1"/>
  <c r="L17" i="4"/>
  <c r="M17" i="4" s="1"/>
  <c r="L29" i="4"/>
  <c r="M29" i="4" s="1"/>
  <c r="L42" i="2"/>
  <c r="M42" i="2" s="1"/>
  <c r="L54" i="2"/>
  <c r="M54" i="2" s="1"/>
  <c r="L50" i="2"/>
  <c r="M50" i="2" s="1"/>
  <c r="O15" i="4"/>
  <c r="O63" i="4" s="1"/>
  <c r="N67" i="4" s="1"/>
  <c r="N15" i="4"/>
  <c r="N63" i="4" s="1"/>
  <c r="N64" i="4" s="1"/>
  <c r="N65" i="4" s="1"/>
  <c r="N66" i="4" s="1"/>
  <c r="K15" i="4"/>
  <c r="L34" i="2"/>
  <c r="M34" i="2" s="1"/>
  <c r="L45" i="4"/>
  <c r="M45" i="4" s="1"/>
  <c r="L31" i="2"/>
  <c r="M55" i="2"/>
  <c r="L56" i="2"/>
  <c r="M20" i="2"/>
  <c r="L21" i="2"/>
  <c r="L43" i="2"/>
  <c r="L18" i="2"/>
  <c r="M17" i="2"/>
  <c r="L53" i="4"/>
  <c r="M53" i="4" s="1"/>
  <c r="L41" i="4"/>
  <c r="M41" i="4" s="1"/>
  <c r="L35" i="2"/>
  <c r="M35" i="2" s="1"/>
  <c r="M20" i="4"/>
  <c r="L21" i="4"/>
  <c r="L17" i="2"/>
  <c r="L46" i="4"/>
  <c r="L61" i="2"/>
  <c r="M38" i="2"/>
  <c r="L39" i="2"/>
  <c r="L46" i="2"/>
  <c r="M46" i="2" s="1"/>
  <c r="L19" i="4"/>
  <c r="M19" i="4" s="1"/>
  <c r="L27" i="2"/>
  <c r="M24" i="4"/>
  <c r="L25" i="4"/>
  <c r="L44" i="4"/>
  <c r="M44" i="4" s="1"/>
  <c r="M43" i="4"/>
  <c r="L49" i="4"/>
  <c r="M25" i="4"/>
  <c r="L26" i="4"/>
  <c r="M26" i="4" s="1"/>
  <c r="M43" i="2"/>
  <c r="L44" i="2"/>
  <c r="M24" i="2"/>
  <c r="L25" i="2"/>
  <c r="O27" i="4"/>
  <c r="N27" i="4"/>
  <c r="K27" i="4"/>
  <c r="M57" i="4"/>
  <c r="L58" i="4"/>
  <c r="M58" i="4" s="1"/>
  <c r="L32" i="4"/>
  <c r="M31" i="4"/>
  <c r="M44" i="2"/>
  <c r="L45" i="2"/>
  <c r="M45" i="2" s="1"/>
  <c r="L38" i="2"/>
  <c r="L29" i="2"/>
  <c r="L47" i="2"/>
  <c r="M47" i="2" s="1"/>
  <c r="L23" i="2"/>
  <c r="M23" i="2" s="1"/>
  <c r="L41" i="2"/>
  <c r="M41" i="2" s="1"/>
  <c r="L19" i="2"/>
  <c r="M19" i="2" s="1"/>
  <c r="M18" i="2"/>
  <c r="M61" i="2"/>
  <c r="M21" i="4"/>
  <c r="L22" i="4"/>
  <c r="M22" i="4" s="1"/>
  <c r="M56" i="4"/>
  <c r="L57" i="4"/>
  <c r="L55" i="2"/>
  <c r="M49" i="4"/>
  <c r="L50" i="4"/>
  <c r="M50" i="4" s="1"/>
  <c r="M29" i="2"/>
  <c r="L30" i="2"/>
  <c r="M30" i="2" s="1"/>
  <c r="F4" i="5"/>
  <c r="E4" i="5"/>
  <c r="L55" i="4"/>
  <c r="M55" i="4" s="1"/>
  <c r="L33" i="2"/>
  <c r="M33" i="2" s="1"/>
  <c r="M59" i="2"/>
  <c r="L60" i="2"/>
  <c r="M60" i="2" s="1"/>
  <c r="L28" i="2"/>
  <c r="M28" i="2" s="1"/>
  <c r="M27" i="2"/>
  <c r="M56" i="2"/>
  <c r="L57" i="2"/>
  <c r="M57" i="2" s="1"/>
  <c r="M15" i="2"/>
  <c r="L16" i="2"/>
  <c r="M16" i="2" s="1"/>
  <c r="M36" i="4"/>
  <c r="L37" i="4"/>
  <c r="M37" i="4" s="1"/>
  <c r="M46" i="4"/>
  <c r="L47" i="4"/>
  <c r="M47" i="4" s="1"/>
  <c r="L34" i="4"/>
  <c r="M34" i="4" s="1"/>
  <c r="L53" i="2"/>
  <c r="M53" i="2" s="1"/>
  <c r="M52" i="2"/>
  <c r="L37" i="2"/>
  <c r="M37" i="2" s="1"/>
  <c r="L58" i="2"/>
  <c r="M58" i="2" s="1"/>
  <c r="L51" i="2"/>
  <c r="M60" i="4"/>
  <c r="L61" i="4"/>
  <c r="M61" i="4" s="1"/>
  <c r="L59" i="4"/>
  <c r="M59" i="4" s="1"/>
  <c r="L18" i="4"/>
  <c r="M18" i="4" s="1"/>
  <c r="L40" i="2"/>
  <c r="M40" i="2" s="1"/>
  <c r="M39" i="2"/>
  <c r="L48" i="4"/>
  <c r="M48" i="4" s="1"/>
  <c r="L26" i="2"/>
  <c r="M26" i="2" s="1"/>
  <c r="M25" i="2"/>
  <c r="L39" i="4"/>
  <c r="M21" i="2"/>
  <c r="L22" i="2"/>
  <c r="M22" i="2" s="1"/>
  <c r="M32" i="4"/>
  <c r="L33" i="4"/>
  <c r="M33" i="4" s="1"/>
  <c r="M31" i="2"/>
  <c r="L32" i="2"/>
  <c r="M32" i="2" s="1"/>
  <c r="O39" i="4"/>
  <c r="N39" i="4"/>
  <c r="K39" i="4"/>
  <c r="L38" i="4" s="1"/>
  <c r="M38" i="4" s="1"/>
  <c r="L54" i="4"/>
  <c r="M54" i="4" s="1"/>
  <c r="L43" i="4"/>
  <c r="M42" i="4"/>
  <c r="L51" i="4"/>
  <c r="L20" i="2"/>
  <c r="L28" i="4" l="1"/>
  <c r="M28" i="4" s="1"/>
  <c r="L27" i="4"/>
  <c r="M27" i="4" s="1"/>
  <c r="M39" i="4"/>
  <c r="L40" i="4"/>
  <c r="M40" i="4" s="1"/>
  <c r="L16" i="4"/>
  <c r="M16" i="4" s="1"/>
  <c r="L14" i="4"/>
  <c r="M14" i="4" s="1"/>
  <c r="L15" i="4"/>
  <c r="M15" i="4" s="1"/>
  <c r="M51" i="4"/>
  <c r="L52" i="4"/>
  <c r="M52" i="4" s="1"/>
</calcChain>
</file>

<file path=xl/sharedStrings.xml><?xml version="1.0" encoding="utf-8"?>
<sst xmlns="http://schemas.openxmlformats.org/spreadsheetml/2006/main" count="284" uniqueCount="93">
  <si>
    <t>US CPI Monthly Data (All Urban Consumers, CPIAUCNS) — Source: FRED, Jan 2020 – Dec 2024</t>
  </si>
  <si>
    <t>Year</t>
  </si>
  <si>
    <t>Month</t>
  </si>
  <si>
    <t>t</t>
  </si>
  <si>
    <t>CPI (Monthly Avg)</t>
  </si>
  <si>
    <t>Month Name</t>
  </si>
  <si>
    <t>Notes</t>
  </si>
  <si>
    <t>Jan</t>
  </si>
  <si>
    <t>Training data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</si>
  <si>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</si>
  <si>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</si>
  <si>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</si>
  <si>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</si>
  <si>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</si>
  <si>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</si>
  <si>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</si>
  <si>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</si>
  <si>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</si>
  <si>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</si>
  <si>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</si>
  <si>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Forecast (2025)</t>
  </si>
  <si>
    <t>Forecast period</t>
  </si>
  <si>
    <t>Y</t>
  </si>
  <si>
    <t>CMA</t>
  </si>
  <si>
    <t>S*I</t>
  </si>
  <si>
    <t>SR_bar</t>
  </si>
  <si>
    <t>S</t>
  </si>
  <si>
    <t>DY</t>
  </si>
  <si>
    <t>DY^</t>
  </si>
  <si>
    <t>Y^</t>
  </si>
  <si>
    <t>C*I</t>
  </si>
  <si>
    <t>C</t>
  </si>
  <si>
    <t>I</t>
  </si>
  <si>
    <t>e^2</t>
  </si>
  <si>
    <t>abs(e/Y)</t>
  </si>
  <si>
    <t>SUMMARY OUTPUT</t>
  </si>
  <si>
    <t>T*C*S*I</t>
  </si>
  <si>
    <t>T*C</t>
  </si>
  <si>
    <t>Y/CMA</t>
  </si>
  <si>
    <t>SR_bar*s/Sum(SR)</t>
  </si>
  <si>
    <t>Y/S</t>
  </si>
  <si>
    <t>T</t>
  </si>
  <si>
    <t>T*S</t>
  </si>
  <si>
    <t>Y/Y^</t>
  </si>
  <si>
    <t>Third(C*I)</t>
  </si>
  <si>
    <t>(C*I)/C</t>
  </si>
  <si>
    <t>(Y-Y^)2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</si>
  <si>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</si>
  <si>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</si>
  <si>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</si>
  <si>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</si>
  <si>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</si>
  <si>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</si>
  <si>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</si>
  <si>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</si>
  <si>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</si>
  <si>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</si>
  <si>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</si>
  <si>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</si>
  <si>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</si>
  <si>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</si>
  <si>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</si>
  <si>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</si>
  <si>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</si>
  <si>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</si>
  <si>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</si>
  <si>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</si>
  <si>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</si>
  <si>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</si>
  <si>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</si>
  <si>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</si>
  <si>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SSE</t>
  </si>
  <si>
    <t>MSE</t>
  </si>
  <si>
    <t>RMSE</t>
  </si>
  <si>
    <t>App. % Error</t>
  </si>
  <si>
    <t>MAPE</t>
  </si>
  <si>
    <t>Y^L</t>
  </si>
  <si>
    <t>Y^U</t>
  </si>
  <si>
    <t>sT</t>
  </si>
  <si>
    <t>Y^-(Za/2*sT)</t>
  </si>
  <si>
    <t>Y^+(Za/2*sT)</t>
  </si>
  <si>
    <t>Y-CMA</t>
  </si>
  <si>
    <t>SV_bar</t>
  </si>
  <si>
    <t>C+I</t>
  </si>
  <si>
    <t>T+C+S+I</t>
  </si>
  <si>
    <t>T+C</t>
  </si>
  <si>
    <t>S+I</t>
  </si>
  <si>
    <t>SV_bar-(Sum(SV)/s)</t>
  </si>
  <si>
    <t>Y-S</t>
  </si>
  <si>
    <t>T+S</t>
  </si>
  <si>
    <t>Y-Y^</t>
  </si>
  <si>
    <t>Third(C+I)</t>
  </si>
  <si>
    <t>(C+I)-C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</si>
</sst>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i/>
      <sz val="10"/>
      <name val="Calibri"/>
      <charset val="1"/>
    </font>
    <font>
      <b/>
      <sz val="9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DCE6F1"/>
        <bgColor rgb="FFDAEEF3"/>
      </patternFill>
    </fill>
    <fill>
      <patternFill patternType="solid">
        <fgColor rgb="FFDAEEF3"/>
        <bgColor rgb="FFDCE6F1"/>
      </patternFill>
    </fill>
    <fill>
      <patternFill patternType="solid">
        <fgColor rgb="FFFFFFFF"/>
        <bgColor rgb="FFEAF1DD"/>
      </patternFill>
    </fill>
    <fill>
      <patternFill patternType="solid">
        <fgColor rgb="FFE2EFDA"/>
        <bgColor rgb="FFEAF1DD"/>
      </patternFill>
    </fill>
    <fill>
      <patternFill patternType="solid">
        <fgColor rgb="FFFFC000"/>
        <bgColor rgb="FFFF9900"/>
      </patternFill>
    </fill>
    <fill>
      <patternFill patternType="solid">
        <fgColor rgb="FFFFFF99"/>
        <bgColor rgb="FFEAF1DD"/>
      </patternFill>
    </fill>
    <fill>
      <patternFill patternType="solid">
        <fgColor rgb="FFEAF1DD"/>
        <bgColor rgb="FFE2EFDA"/>
      </patternFill>
    </fill>
    <fill>
      <patternFill patternType="solid">
        <fgColor rgb="FFF2DBDB"/>
        <bgColor rgb="FFD9D9D9"/>
      </patternFill>
    </fill>
    <fill>
      <patternFill patternType="solid">
        <fgColor rgb="FFEAF1DD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165" fontId="5" fillId="9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0" fontId="5" fillId="0" borderId="0" xfId="0" applyFont="1"/>
    <xf numFmtId="165" fontId="5" fillId="0" borderId="0" xfId="0" applyNumberFormat="1" applyFont="1"/>
    <xf numFmtId="0" fontId="5" fillId="3" borderId="0" xfId="0" applyFont="1" applyFill="1" applyAlignment="1">
      <alignment horizontal="center" vertical="center"/>
    </xf>
    <xf numFmtId="1" fontId="5" fillId="1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AF1DD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0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F1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Y/S vs. T*C*S*I — CPI Monthly (2020–2024)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MD!$H$2</c:f>
              <c:strCache>
                <c:ptCount val="1"/>
                <c:pt idx="0">
                  <c:v>Y/S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MD!$C$3:$C$62</c:f>
              <c:numCache>
                <c:formatCode>0.000</c:formatCode>
                <c:ptCount val="60"/>
                <c:pt idx="0">
                  <c:v>257.971</c:v>
                </c:pt>
                <c:pt idx="1">
                  <c:v>258.678</c:v>
                </c:pt>
                <c:pt idx="2">
                  <c:v>258.11500000000001</c:v>
                </c:pt>
                <c:pt idx="3">
                  <c:v>256.38900000000001</c:v>
                </c:pt>
                <c:pt idx="4">
                  <c:v>256.39400000000001</c:v>
                </c:pt>
                <c:pt idx="5">
                  <c:v>257.79700000000003</c:v>
                </c:pt>
                <c:pt idx="6">
                  <c:v>259.101</c:v>
                </c:pt>
                <c:pt idx="7">
                  <c:v>259.91800000000001</c:v>
                </c:pt>
                <c:pt idx="8">
                  <c:v>260.27999999999997</c:v>
                </c:pt>
                <c:pt idx="9">
                  <c:v>260.38799999999998</c:v>
                </c:pt>
                <c:pt idx="10">
                  <c:v>260.22899999999998</c:v>
                </c:pt>
                <c:pt idx="11">
                  <c:v>260.47399999999999</c:v>
                </c:pt>
                <c:pt idx="12">
                  <c:v>261.58199999999999</c:v>
                </c:pt>
                <c:pt idx="13">
                  <c:v>263.01400000000001</c:v>
                </c:pt>
                <c:pt idx="14">
                  <c:v>264.87700000000001</c:v>
                </c:pt>
                <c:pt idx="15">
                  <c:v>267.05399999999997</c:v>
                </c:pt>
                <c:pt idx="16">
                  <c:v>269.19499999999999</c:v>
                </c:pt>
                <c:pt idx="17">
                  <c:v>271.69600000000003</c:v>
                </c:pt>
                <c:pt idx="18">
                  <c:v>273.00299999999999</c:v>
                </c:pt>
                <c:pt idx="19">
                  <c:v>273.56700000000001</c:v>
                </c:pt>
                <c:pt idx="20">
                  <c:v>274.31</c:v>
                </c:pt>
                <c:pt idx="21">
                  <c:v>276.589</c:v>
                </c:pt>
                <c:pt idx="22">
                  <c:v>277.94799999999998</c:v>
                </c:pt>
                <c:pt idx="23">
                  <c:v>278.80200000000002</c:v>
                </c:pt>
                <c:pt idx="24">
                  <c:v>281.14800000000002</c:v>
                </c:pt>
                <c:pt idx="25">
                  <c:v>283.71600000000001</c:v>
                </c:pt>
                <c:pt idx="26">
                  <c:v>287.50400000000002</c:v>
                </c:pt>
                <c:pt idx="27">
                  <c:v>289.10899999999998</c:v>
                </c:pt>
                <c:pt idx="28">
                  <c:v>292.29599999999999</c:v>
                </c:pt>
                <c:pt idx="29">
                  <c:v>296.31099999999998</c:v>
                </c:pt>
                <c:pt idx="30">
                  <c:v>296.27600000000001</c:v>
                </c:pt>
                <c:pt idx="31">
                  <c:v>296.17099999999999</c:v>
                </c:pt>
                <c:pt idx="32">
                  <c:v>296.80799999999999</c:v>
                </c:pt>
                <c:pt idx="33">
                  <c:v>298.012</c:v>
                </c:pt>
                <c:pt idx="34">
                  <c:v>297.71100000000001</c:v>
                </c:pt>
                <c:pt idx="35">
                  <c:v>296.79700000000003</c:v>
                </c:pt>
                <c:pt idx="36">
                  <c:v>299.17</c:v>
                </c:pt>
                <c:pt idx="37">
                  <c:v>300.83999999999997</c:v>
                </c:pt>
                <c:pt idx="38">
                  <c:v>301.83600000000001</c:v>
                </c:pt>
                <c:pt idx="39">
                  <c:v>303.363</c:v>
                </c:pt>
                <c:pt idx="40">
                  <c:v>304.12700000000001</c:v>
                </c:pt>
                <c:pt idx="41">
                  <c:v>305.10899999999998</c:v>
                </c:pt>
                <c:pt idx="42">
                  <c:v>305.69099999999997</c:v>
                </c:pt>
                <c:pt idx="43">
                  <c:v>307.02600000000001</c:v>
                </c:pt>
                <c:pt idx="44">
                  <c:v>307.78899999999999</c:v>
                </c:pt>
                <c:pt idx="45">
                  <c:v>307.67099999999999</c:v>
                </c:pt>
                <c:pt idx="46">
                  <c:v>307.05099999999999</c:v>
                </c:pt>
                <c:pt idx="47">
                  <c:v>306.74599999999998</c:v>
                </c:pt>
                <c:pt idx="48">
                  <c:v>308.41699999999997</c:v>
                </c:pt>
                <c:pt idx="49">
                  <c:v>310.32600000000002</c:v>
                </c:pt>
                <c:pt idx="50">
                  <c:v>312.33199999999999</c:v>
                </c:pt>
                <c:pt idx="51">
                  <c:v>313.548</c:v>
                </c:pt>
                <c:pt idx="52">
                  <c:v>314.06900000000002</c:v>
                </c:pt>
                <c:pt idx="53">
                  <c:v>314.17500000000001</c:v>
                </c:pt>
                <c:pt idx="54">
                  <c:v>314.54000000000002</c:v>
                </c:pt>
                <c:pt idx="55">
                  <c:v>314.79599999999999</c:v>
                </c:pt>
                <c:pt idx="56">
                  <c:v>315.30099999999999</c:v>
                </c:pt>
                <c:pt idx="57">
                  <c:v>315.66399999999999</c:v>
                </c:pt>
                <c:pt idx="58">
                  <c:v>315.49299999999999</c:v>
                </c:pt>
                <c:pt idx="59">
                  <c:v>315.60500000000002</c:v>
                </c:pt>
              </c:numCache>
            </c:numRef>
          </c:xVal>
          <c:yVal>
            <c:numRef>
              <c:f>MD!$H$3:$H$62</c:f>
              <c:numCache>
                <c:formatCode>0.000</c:formatCode>
                <c:ptCount val="60"/>
                <c:pt idx="0">
                  <c:v>259.44193345774636</c:v>
                </c:pt>
                <c:pt idx="1">
                  <c:v>259.49178657715146</c:v>
                </c:pt>
                <c:pt idx="2">
                  <c:v>258.01669611918157</c:v>
                </c:pt>
                <c:pt idx="3">
                  <c:v>255.8641864860397</c:v>
                </c:pt>
                <c:pt idx="4">
                  <c:v>255.41441401694445</c:v>
                </c:pt>
                <c:pt idx="5">
                  <c:v>256.13445846458768</c:v>
                </c:pt>
                <c:pt idx="6">
                  <c:v>258.02328179326162</c:v>
                </c:pt>
                <c:pt idx="7">
                  <c:v>259.21056824870993</c:v>
                </c:pt>
                <c:pt idx="8">
                  <c:v>260.01135266747042</c:v>
                </c:pt>
                <c:pt idx="9">
                  <c:v>260.38000069243736</c:v>
                </c:pt>
                <c:pt idx="10">
                  <c:v>261.23942907587877</c:v>
                </c:pt>
                <c:pt idx="11">
                  <c:v>262.58908701169094</c:v>
                </c:pt>
                <c:pt idx="12">
                  <c:v>263.07352313920637</c:v>
                </c:pt>
                <c:pt idx="13">
                  <c:v>263.84142739159461</c:v>
                </c:pt>
                <c:pt idx="14">
                  <c:v>264.77612079096701</c:v>
                </c:pt>
                <c:pt idx="15">
                  <c:v>266.50735584538666</c:v>
                </c:pt>
                <c:pt idx="16">
                  <c:v>268.16650616352706</c:v>
                </c:pt>
                <c:pt idx="17">
                  <c:v>269.94382334547964</c:v>
                </c:pt>
                <c:pt idx="18">
                  <c:v>271.8674570897287</c:v>
                </c:pt>
                <c:pt idx="19">
                  <c:v>272.82241908638429</c:v>
                </c:pt>
                <c:pt idx="20">
                  <c:v>274.02687163905728</c:v>
                </c:pt>
                <c:pt idx="21">
                  <c:v>276.58050298600767</c:v>
                </c:pt>
                <c:pt idx="22">
                  <c:v>279.02722922034957</c:v>
                </c:pt>
                <c:pt idx="23">
                  <c:v>281.06591305479037</c:v>
                </c:pt>
                <c:pt idx="24">
                  <c:v>282.75108716785405</c:v>
                </c:pt>
                <c:pt idx="25">
                  <c:v>284.60855473029443</c:v>
                </c:pt>
                <c:pt idx="26">
                  <c:v>287.39450322937131</c:v>
                </c:pt>
                <c:pt idx="27">
                  <c:v>288.51721053084356</c:v>
                </c:pt>
                <c:pt idx="28">
                  <c:v>291.17924584622415</c:v>
                </c:pt>
                <c:pt idx="29">
                  <c:v>294.40008038146459</c:v>
                </c:pt>
                <c:pt idx="30">
                  <c:v>295.04365416027099</c:v>
                </c:pt>
                <c:pt idx="31">
                  <c:v>295.36489665505536</c:v>
                </c:pt>
                <c:pt idx="32">
                  <c:v>296.5016503862247</c:v>
                </c:pt>
                <c:pt idx="33">
                  <c:v>298.00284485596359</c:v>
                </c:pt>
                <c:pt idx="34">
                  <c:v>298.86696590160568</c:v>
                </c:pt>
                <c:pt idx="35">
                  <c:v>299.20703508914073</c:v>
                </c:pt>
                <c:pt idx="36">
                  <c:v>300.87584741135237</c:v>
                </c:pt>
                <c:pt idx="37">
                  <c:v>301.78642588032318</c:v>
                </c:pt>
                <c:pt idx="38">
                  <c:v>301.72104484369095</c:v>
                </c:pt>
                <c:pt idx="39">
                  <c:v>302.74203341393138</c:v>
                </c:pt>
                <c:pt idx="40">
                  <c:v>302.96504400154163</c:v>
                </c:pt>
                <c:pt idx="41">
                  <c:v>303.14134178315447</c:v>
                </c:pt>
                <c:pt idx="42">
                  <c:v>304.41949291845236</c:v>
                </c:pt>
                <c:pt idx="43">
                  <c:v>306.19035206152876</c:v>
                </c:pt>
                <c:pt idx="44">
                  <c:v>307.47131637531913</c:v>
                </c:pt>
                <c:pt idx="45">
                  <c:v>307.6615481245023</c:v>
                </c:pt>
                <c:pt idx="46">
                  <c:v>308.24323168124096</c:v>
                </c:pt>
                <c:pt idx="47">
                  <c:v>309.23682242560926</c:v>
                </c:pt>
                <c:pt idx="48">
                  <c:v>310.17557318938077</c:v>
                </c:pt>
                <c:pt idx="49">
                  <c:v>311.30226830786194</c:v>
                </c:pt>
                <c:pt idx="50">
                  <c:v>312.21304741024818</c:v>
                </c:pt>
                <c:pt idx="51">
                  <c:v>312.90618530562847</c:v>
                </c:pt>
                <c:pt idx="52">
                  <c:v>312.86905932232321</c:v>
                </c:pt>
                <c:pt idx="53">
                  <c:v>312.14887484381836</c:v>
                </c:pt>
                <c:pt idx="54">
                  <c:v>313.23168592654025</c:v>
                </c:pt>
                <c:pt idx="55">
                  <c:v>313.93920406597812</c:v>
                </c:pt>
                <c:pt idx="56">
                  <c:v>314.97556288384084</c:v>
                </c:pt>
                <c:pt idx="57">
                  <c:v>315.65430257376511</c:v>
                </c:pt>
                <c:pt idx="58">
                  <c:v>316.71801066536096</c:v>
                </c:pt>
                <c:pt idx="59">
                  <c:v>318.16775880250901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0F-4EFD-ABA1-5C9E62290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6062"/>
        <c:axId val="61545968"/>
      </c:scatterChart>
      <c:valAx>
        <c:axId val="114460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 (CPI Index)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545968"/>
        <c:crosses val="autoZero"/>
        <c:crossBetween val="midCat"/>
      </c:valAx>
      <c:valAx>
        <c:axId val="61545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DY (Deseasonalized CPI)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460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Y-S vs. T+C+S+I — CPI Monthly (2020–2024)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AD!$H$2</c:f>
              <c:strCache>
                <c:ptCount val="1"/>
                <c:pt idx="0">
                  <c:v>Y-S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AD!$C$3:$C$62</c:f>
              <c:numCache>
                <c:formatCode>0.000</c:formatCode>
                <c:ptCount val="60"/>
                <c:pt idx="0">
                  <c:v>257.971</c:v>
                </c:pt>
                <c:pt idx="1">
                  <c:v>258.678</c:v>
                </c:pt>
                <c:pt idx="2">
                  <c:v>258.11500000000001</c:v>
                </c:pt>
                <c:pt idx="3">
                  <c:v>256.38900000000001</c:v>
                </c:pt>
                <c:pt idx="4">
                  <c:v>256.39400000000001</c:v>
                </c:pt>
                <c:pt idx="5">
                  <c:v>257.79700000000003</c:v>
                </c:pt>
                <c:pt idx="6">
                  <c:v>259.101</c:v>
                </c:pt>
                <c:pt idx="7">
                  <c:v>259.91800000000001</c:v>
                </c:pt>
                <c:pt idx="8">
                  <c:v>260.27999999999997</c:v>
                </c:pt>
                <c:pt idx="9">
                  <c:v>260.38799999999998</c:v>
                </c:pt>
                <c:pt idx="10">
                  <c:v>260.22899999999998</c:v>
                </c:pt>
                <c:pt idx="11">
                  <c:v>260.47399999999999</c:v>
                </c:pt>
                <c:pt idx="12">
                  <c:v>261.58199999999999</c:v>
                </c:pt>
                <c:pt idx="13">
                  <c:v>263.01400000000001</c:v>
                </c:pt>
                <c:pt idx="14">
                  <c:v>264.87700000000001</c:v>
                </c:pt>
                <c:pt idx="15">
                  <c:v>267.05399999999997</c:v>
                </c:pt>
                <c:pt idx="16">
                  <c:v>269.19499999999999</c:v>
                </c:pt>
                <c:pt idx="17">
                  <c:v>271.69600000000003</c:v>
                </c:pt>
                <c:pt idx="18">
                  <c:v>273.00299999999999</c:v>
                </c:pt>
                <c:pt idx="19">
                  <c:v>273.56700000000001</c:v>
                </c:pt>
                <c:pt idx="20">
                  <c:v>274.31</c:v>
                </c:pt>
                <c:pt idx="21">
                  <c:v>276.589</c:v>
                </c:pt>
                <c:pt idx="22">
                  <c:v>277.94799999999998</c:v>
                </c:pt>
                <c:pt idx="23">
                  <c:v>278.80200000000002</c:v>
                </c:pt>
                <c:pt idx="24">
                  <c:v>281.14800000000002</c:v>
                </c:pt>
                <c:pt idx="25">
                  <c:v>283.71600000000001</c:v>
                </c:pt>
                <c:pt idx="26">
                  <c:v>287.50400000000002</c:v>
                </c:pt>
                <c:pt idx="27">
                  <c:v>289.10899999999998</c:v>
                </c:pt>
                <c:pt idx="28">
                  <c:v>292.29599999999999</c:v>
                </c:pt>
                <c:pt idx="29">
                  <c:v>296.31099999999998</c:v>
                </c:pt>
                <c:pt idx="30">
                  <c:v>296.27600000000001</c:v>
                </c:pt>
                <c:pt idx="31">
                  <c:v>296.17099999999999</c:v>
                </c:pt>
                <c:pt idx="32">
                  <c:v>296.80799999999999</c:v>
                </c:pt>
                <c:pt idx="33">
                  <c:v>298.012</c:v>
                </c:pt>
                <c:pt idx="34">
                  <c:v>297.71100000000001</c:v>
                </c:pt>
                <c:pt idx="35">
                  <c:v>296.79700000000003</c:v>
                </c:pt>
                <c:pt idx="36">
                  <c:v>299.17</c:v>
                </c:pt>
                <c:pt idx="37">
                  <c:v>300.83999999999997</c:v>
                </c:pt>
                <c:pt idx="38">
                  <c:v>301.83600000000001</c:v>
                </c:pt>
                <c:pt idx="39">
                  <c:v>303.363</c:v>
                </c:pt>
                <c:pt idx="40">
                  <c:v>304.12700000000001</c:v>
                </c:pt>
                <c:pt idx="41">
                  <c:v>305.10899999999998</c:v>
                </c:pt>
                <c:pt idx="42">
                  <c:v>305.69099999999997</c:v>
                </c:pt>
                <c:pt idx="43">
                  <c:v>307.02600000000001</c:v>
                </c:pt>
                <c:pt idx="44">
                  <c:v>307.78899999999999</c:v>
                </c:pt>
                <c:pt idx="45">
                  <c:v>307.67099999999999</c:v>
                </c:pt>
                <c:pt idx="46">
                  <c:v>307.05099999999999</c:v>
                </c:pt>
                <c:pt idx="47">
                  <c:v>306.74599999999998</c:v>
                </c:pt>
                <c:pt idx="48">
                  <c:v>308.41699999999997</c:v>
                </c:pt>
                <c:pt idx="49">
                  <c:v>310.32600000000002</c:v>
                </c:pt>
                <c:pt idx="50">
                  <c:v>312.33199999999999</c:v>
                </c:pt>
                <c:pt idx="51">
                  <c:v>313.548</c:v>
                </c:pt>
                <c:pt idx="52">
                  <c:v>314.06900000000002</c:v>
                </c:pt>
                <c:pt idx="53">
                  <c:v>314.17500000000001</c:v>
                </c:pt>
                <c:pt idx="54">
                  <c:v>314.54000000000002</c:v>
                </c:pt>
                <c:pt idx="55">
                  <c:v>314.79599999999999</c:v>
                </c:pt>
                <c:pt idx="56">
                  <c:v>315.30099999999999</c:v>
                </c:pt>
                <c:pt idx="57">
                  <c:v>315.66399999999999</c:v>
                </c:pt>
                <c:pt idx="58">
                  <c:v>315.49299999999999</c:v>
                </c:pt>
                <c:pt idx="59">
                  <c:v>315.60500000000002</c:v>
                </c:pt>
              </c:numCache>
            </c:numRef>
          </c:xVal>
          <c:yVal>
            <c:numRef>
              <c:f>AD!$H$3:$H$62</c:f>
              <c:numCache>
                <c:formatCode>0.000</c:formatCode>
                <c:ptCount val="60"/>
                <c:pt idx="0">
                  <c:v>288.33629427083332</c:v>
                </c:pt>
                <c:pt idx="1">
                  <c:v>288.29767968749996</c:v>
                </c:pt>
                <c:pt idx="2">
                  <c:v>286.71621093749997</c:v>
                </c:pt>
                <c:pt idx="3">
                  <c:v>284.50788802083332</c:v>
                </c:pt>
                <c:pt idx="4">
                  <c:v>284.01109635416668</c:v>
                </c:pt>
                <c:pt idx="5">
                  <c:v>284.66304427083332</c:v>
                </c:pt>
                <c:pt idx="6">
                  <c:v>286.65238802083337</c:v>
                </c:pt>
                <c:pt idx="7">
                  <c:v>287.88011718750005</c:v>
                </c:pt>
                <c:pt idx="8">
                  <c:v>288.71862760416667</c:v>
                </c:pt>
                <c:pt idx="9">
                  <c:v>289.11854427083335</c:v>
                </c:pt>
                <c:pt idx="10">
                  <c:v>290.08598177083331</c:v>
                </c:pt>
                <c:pt idx="11">
                  <c:v>291.54903385416668</c:v>
                </c:pt>
                <c:pt idx="12">
                  <c:v>291.94729427083331</c:v>
                </c:pt>
                <c:pt idx="13">
                  <c:v>292.63367968749998</c:v>
                </c:pt>
                <c:pt idx="14">
                  <c:v>293.47821093749997</c:v>
                </c:pt>
                <c:pt idx="15">
                  <c:v>295.17288802083328</c:v>
                </c:pt>
                <c:pt idx="16">
                  <c:v>296.81209635416667</c:v>
                </c:pt>
                <c:pt idx="17">
                  <c:v>298.56204427083333</c:v>
                </c:pt>
                <c:pt idx="18">
                  <c:v>300.55438802083336</c:v>
                </c:pt>
                <c:pt idx="19">
                  <c:v>301.52911718750005</c:v>
                </c:pt>
                <c:pt idx="20">
                  <c:v>302.7486276041667</c:v>
                </c:pt>
                <c:pt idx="21">
                  <c:v>305.31954427083338</c:v>
                </c:pt>
                <c:pt idx="22">
                  <c:v>307.80498177083331</c:v>
                </c:pt>
                <c:pt idx="23">
                  <c:v>309.87703385416671</c:v>
                </c:pt>
                <c:pt idx="24">
                  <c:v>311.51329427083334</c:v>
                </c:pt>
                <c:pt idx="25">
                  <c:v>313.33567968749998</c:v>
                </c:pt>
                <c:pt idx="26">
                  <c:v>316.10521093749998</c:v>
                </c:pt>
                <c:pt idx="27">
                  <c:v>317.22788802083329</c:v>
                </c:pt>
                <c:pt idx="28">
                  <c:v>319.91309635416667</c:v>
                </c:pt>
                <c:pt idx="29">
                  <c:v>323.17704427083328</c:v>
                </c:pt>
                <c:pt idx="30">
                  <c:v>323.82738802083338</c:v>
                </c:pt>
                <c:pt idx="31">
                  <c:v>324.13311718750003</c:v>
                </c:pt>
                <c:pt idx="32">
                  <c:v>325.24662760416669</c:v>
                </c:pt>
                <c:pt idx="33">
                  <c:v>326.74254427083338</c:v>
                </c:pt>
                <c:pt idx="34">
                  <c:v>327.56798177083334</c:v>
                </c:pt>
                <c:pt idx="35">
                  <c:v>327.87203385416672</c:v>
                </c:pt>
                <c:pt idx="36">
                  <c:v>329.53529427083333</c:v>
                </c:pt>
                <c:pt idx="37">
                  <c:v>330.45967968749994</c:v>
                </c:pt>
                <c:pt idx="38">
                  <c:v>330.43721093749997</c:v>
                </c:pt>
                <c:pt idx="39">
                  <c:v>331.48188802083331</c:v>
                </c:pt>
                <c:pt idx="40">
                  <c:v>331.74409635416669</c:v>
                </c:pt>
                <c:pt idx="41">
                  <c:v>331.97504427083328</c:v>
                </c:pt>
                <c:pt idx="42">
                  <c:v>333.24238802083335</c:v>
                </c:pt>
                <c:pt idx="43">
                  <c:v>334.98811718750005</c:v>
                </c:pt>
                <c:pt idx="44">
                  <c:v>336.22762760416668</c:v>
                </c:pt>
                <c:pt idx="45">
                  <c:v>336.40154427083337</c:v>
                </c:pt>
                <c:pt idx="46">
                  <c:v>336.90798177083332</c:v>
                </c:pt>
                <c:pt idx="47">
                  <c:v>337.82103385416667</c:v>
                </c:pt>
                <c:pt idx="48">
                  <c:v>338.78229427083329</c:v>
                </c:pt>
                <c:pt idx="49">
                  <c:v>339.94567968749999</c:v>
                </c:pt>
                <c:pt idx="50">
                  <c:v>340.93321093749995</c:v>
                </c:pt>
                <c:pt idx="51">
                  <c:v>341.66688802083331</c:v>
                </c:pt>
                <c:pt idx="52">
                  <c:v>341.68609635416669</c:v>
                </c:pt>
                <c:pt idx="53">
                  <c:v>341.04104427083331</c:v>
                </c:pt>
                <c:pt idx="54">
                  <c:v>342.09138802083339</c:v>
                </c:pt>
                <c:pt idx="55">
                  <c:v>342.75811718750003</c:v>
                </c:pt>
                <c:pt idx="56">
                  <c:v>343.73962760416669</c:v>
                </c:pt>
                <c:pt idx="57">
                  <c:v>344.39454427083336</c:v>
                </c:pt>
                <c:pt idx="58">
                  <c:v>345.34998177083332</c:v>
                </c:pt>
                <c:pt idx="59">
                  <c:v>346.68003385416671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5C-474C-A427-BBA76A969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28259"/>
        <c:axId val="59473496"/>
      </c:scatterChart>
      <c:valAx>
        <c:axId val="763282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 (CPI Index)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473496"/>
        <c:crosses val="autoZero"/>
        <c:crossBetween val="midCat"/>
      </c:valAx>
      <c:valAx>
        <c:axId val="59473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DY (Deseasonalized CPI)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2825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24</xdr:row>
      <xdr:rowOff>0</xdr:rowOff>
    </xdr:from>
    <xdr:to>
      <xdr:col>21</xdr:col>
      <xdr:colOff>629280</xdr:colOff>
      <xdr:row>42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23</xdr:row>
      <xdr:rowOff>97200</xdr:rowOff>
    </xdr:from>
    <xdr:to>
      <xdr:col>21</xdr:col>
      <xdr:colOff>629280</xdr:colOff>
      <xdr:row>42</xdr:row>
      <xdr:rowOff>77400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opLeftCell="A25" zoomScale="81" zoomScaleNormal="100" workbookViewId="0">
      <selection activeCell="H67" sqref="H67"/>
    </sheetView>
  </sheetViews>
  <sheetFormatPr defaultColWidth="8.6328125" defaultRowHeight="14.5" x14ac:dyDescent="0.35"/>
  <cols>
    <col min="1" max="2" width="7" customWidth="1"/>
    <col min="3" max="3" width="5" customWidth="1"/>
    <col min="4" max="4" width="18" customWidth="1"/>
    <col min="5" max="5" width="12" customWidth="1"/>
    <col min="6" max="6" width="56.7265625" customWidth="1"/>
  </cols>
  <sheetData>
    <row r="1" spans="1:6" x14ac:dyDescent="0.35">
      <c r="A1" s="2" t="s">
        <v>0</v>
      </c>
      <c r="B1" s="2"/>
      <c r="C1" s="2"/>
      <c r="D1" s="2"/>
      <c r="E1" s="2"/>
      <c r="F1" s="2"/>
    </row>
    <row r="2" spans="1:6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5">
      <c r="A3" s="4">
        <v>2020</v>
      </c>
      <c r="B3" s="4">
        <v>1</v>
      </c>
      <c r="C3" s="4">
        <v>1</v>
      </c>
      <c r="D3" s="5">
        <v>257.971</v>
      </c>
      <c r="E3" s="4" t="s">
        <v>7</v>
      </c>
      <c r="F3" s="4" t="s">
        <v>8</v>
      </c>
    </row>
    <row r="4" spans="1:6" x14ac:dyDescent="0.35">
      <c r="A4" s="4">
        <v>2020</v>
      </c>
      <c r="B4" s="4">
        <v>2</v>
      </c>
      <c r="C4" s="4">
        <v>2</v>
      </c>
      <c r="D4" s="5">
        <v>258.678</v>
      </c>
      <c r="E4" s="4" t="s">
        <v>9</v>
      </c>
      <c r="F4" s="4" t="s">
        <v>8</v>
      </c>
    </row>
    <row r="5" spans="1:6" x14ac:dyDescent="0.35">
      <c r="A5" s="4">
        <v>2020</v>
      </c>
      <c r="B5" s="4">
        <v>3</v>
      </c>
      <c r="C5" s="4">
        <v>3</v>
      </c>
      <c r="D5" s="5">
        <v>258.11500000000001</v>
      </c>
      <c r="E5" s="4" t="s">
        <v>10</v>
      </c>
      <c r="F5" s="4" t="s">
        <v>8</v>
      </c>
    </row>
    <row r="6" spans="1:6" x14ac:dyDescent="0.35">
      <c r="A6" s="4">
        <v>2020</v>
      </c>
      <c r="B6" s="4">
        <v>4</v>
      </c>
      <c r="C6" s="4">
        <v>4</v>
      </c>
      <c r="D6" s="5">
        <v>256.38900000000001</v>
      </c>
      <c r="E6" s="4" t="s">
        <v>11</v>
      </c>
      <c r="F6" s="4" t="s">
        <v>8</v>
      </c>
    </row>
    <row r="7" spans="1:6" x14ac:dyDescent="0.35">
      <c r="A7" s="4">
        <v>2020</v>
      </c>
      <c r="B7" s="4">
        <v>5</v>
      </c>
      <c r="C7" s="4">
        <v>5</v>
      </c>
      <c r="D7" s="5">
        <v>256.39400000000001</v>
      </c>
      <c r="E7" s="4" t="s">
        <v>12</v>
      </c>
      <c r="F7" s="4" t="s">
        <v>8</v>
      </c>
    </row>
    <row r="8" spans="1:6" x14ac:dyDescent="0.35">
      <c r="A8" s="4">
        <v>2020</v>
      </c>
      <c r="B8" s="4">
        <v>6</v>
      </c>
      <c r="C8" s="4">
        <v>6</v>
      </c>
      <c r="D8" s="5">
        <v>257.79700000000003</v>
      </c>
      <c r="E8" s="4" t="s">
        <v>13</v>
      </c>
      <c r="F8" s="4" t="s">
        <v>8</v>
      </c>
    </row>
    <row r="9" spans="1:6" x14ac:dyDescent="0.35">
      <c r="A9" s="4">
        <v>2020</v>
      </c>
      <c r="B9" s="4">
        <v>7</v>
      </c>
      <c r="C9" s="4">
        <v>7</v>
      </c>
      <c r="D9" s="5">
        <v>259.101</v>
      </c>
      <c r="E9" s="4" t="s">
        <v>14</v>
      </c>
      <c r="F9" s="4" t="s">
        <v>8</v>
      </c>
    </row>
    <row r="10" spans="1:6" x14ac:dyDescent="0.35">
      <c r="A10" s="4">
        <v>2020</v>
      </c>
      <c r="B10" s="4">
        <v>8</v>
      </c>
      <c r="C10" s="4">
        <v>8</v>
      </c>
      <c r="D10" s="5">
        <v>259.91800000000001</v>
      </c>
      <c r="E10" s="4" t="s">
        <v>15</v>
      </c>
      <c r="F10" s="4" t="s">
        <v>8</v>
      </c>
    </row>
    <row r="11" spans="1:6" x14ac:dyDescent="0.35">
      <c r="A11" s="4">
        <v>2020</v>
      </c>
      <c r="B11" s="4">
        <v>9</v>
      </c>
      <c r="C11" s="4">
        <v>9</v>
      </c>
      <c r="D11" s="5">
        <v>260.27999999999997</v>
      </c>
      <c r="E11" s="4" t="s">
        <v>16</v>
      </c>
      <c r="F11" s="4" t="s">
        <v>8</v>
      </c>
    </row>
    <row r="12" spans="1:6" x14ac:dyDescent="0.35">
      <c r="A12" s="4">
        <v>2020</v>
      </c>
      <c r="B12" s="4">
        <v>10</v>
      </c>
      <c r="C12" s="4">
        <v>10</v>
      </c>
      <c r="D12" s="5">
        <v>260.38799999999998</v>
      </c>
      <c r="E12" s="4" t="s">
        <v>17</v>
      </c>
      <c r="F12" s="4" t="s">
        <v>8</v>
      </c>
    </row>
    <row r="13" spans="1:6" x14ac:dyDescent="0.35">
      <c r="A13" s="4">
        <v>2020</v>
      </c>
      <c r="B13" s="4">
        <v>11</v>
      </c>
      <c r="C13" s="4">
        <v>11</v>
      </c>
      <c r="D13" s="5">
        <v>260.22899999999998</v>
      </c>
      <c r="E13" s="4" t="s">
        <v>18</v>
      </c>
      <c r="F13" s="4" t="s">
        <v>8</v>
      </c>
    </row>
    <row r="14" spans="1:6" x14ac:dyDescent="0.35">
      <c r="A14" s="4">
        <v>2020</v>
      </c>
      <c r="B14" s="4">
        <v>12</v>
      </c>
      <c r="C14" s="4">
        <v>12</v>
      </c>
      <c r="D14" s="5">
        <v>260.47399999999999</v>
      </c>
      <c r="E14" s="4" t="s">
        <v>19</v>
      </c>
      <c r="F14" s="4" t="s">
        <v>8</v>
      </c>
    </row>
    <row r="15" spans="1:6" x14ac:dyDescent="0.35">
      <c r="A15" s="6">
        <v>2021</v>
      </c>
      <c r="B15" s="6">
        <v>1</v>
      </c>
      <c r="C15" s="6">
        <v>13</v>
      </c>
      <c r="D15" s="7">
        <v>261.58199999999999</v>
      </c>
      <c r="E15" s="6" t="s">
        <v>7</v>
      </c>
      <c r="F15" s="6" t="s">
        <v>8</v>
      </c>
    </row>
    <row r="16" spans="1:6" x14ac:dyDescent="0.35">
      <c r="A16" s="6">
        <v>2021</v>
      </c>
      <c r="B16" s="6">
        <v>2</v>
      </c>
      <c r="C16" s="6">
        <v>14</v>
      </c>
      <c r="D16" s="7">
        <v>263.01400000000001</v>
      </c>
      <c r="E16" s="6" t="s">
        <v>9</v>
      </c>
      <c r="F16" s="6" t="s">
        <v>8</v>
      </c>
    </row>
    <row r="17" spans="1:6" x14ac:dyDescent="0.35">
      <c r="A17" s="6">
        <v>2021</v>
      </c>
      <c r="B17" s="6">
        <v>3</v>
      </c>
      <c r="C17" s="6">
        <v>15</v>
      </c>
      <c r="D17" s="7">
        <v>264.87700000000001</v>
      </c>
      <c r="E17" s="6" t="s">
        <v>10</v>
      </c>
      <c r="F17" s="6" t="s">
        <v>8</v>
      </c>
    </row>
    <row r="18" spans="1:6" x14ac:dyDescent="0.35">
      <c r="A18" s="6">
        <v>2021</v>
      </c>
      <c r="B18" s="6">
        <v>4</v>
      </c>
      <c r="C18" s="6">
        <v>16</v>
      </c>
      <c r="D18" s="7">
        <v>267.05399999999997</v>
      </c>
      <c r="E18" s="6" t="s">
        <v>11</v>
      </c>
      <c r="F18" s="6" t="s">
        <v>8</v>
      </c>
    </row>
    <row r="19" spans="1:6" x14ac:dyDescent="0.35">
      <c r="A19" s="6">
        <v>2021</v>
      </c>
      <c r="B19" s="6">
        <v>5</v>
      </c>
      <c r="C19" s="6">
        <v>17</v>
      </c>
      <c r="D19" s="7">
        <v>269.19499999999999</v>
      </c>
      <c r="E19" s="6" t="s">
        <v>12</v>
      </c>
      <c r="F19" s="6" t="s">
        <v>8</v>
      </c>
    </row>
    <row r="20" spans="1:6" x14ac:dyDescent="0.35">
      <c r="A20" s="6">
        <v>2021</v>
      </c>
      <c r="B20" s="6">
        <v>6</v>
      </c>
      <c r="C20" s="6">
        <v>18</v>
      </c>
      <c r="D20" s="7">
        <v>271.69600000000003</v>
      </c>
      <c r="E20" s="6" t="s">
        <v>13</v>
      </c>
      <c r="F20" s="6" t="s">
        <v>8</v>
      </c>
    </row>
    <row r="21" spans="1:6" x14ac:dyDescent="0.35">
      <c r="A21" s="6">
        <v>2021</v>
      </c>
      <c r="B21" s="6">
        <v>7</v>
      </c>
      <c r="C21" s="6">
        <v>19</v>
      </c>
      <c r="D21" s="7">
        <v>273.00299999999999</v>
      </c>
      <c r="E21" s="6" t="s">
        <v>14</v>
      </c>
      <c r="F21" s="6" t="s">
        <v>8</v>
      </c>
    </row>
    <row r="22" spans="1:6" x14ac:dyDescent="0.35">
      <c r="A22" s="6">
        <v>2021</v>
      </c>
      <c r="B22" s="6">
        <v>8</v>
      </c>
      <c r="C22" s="6">
        <v>20</v>
      </c>
      <c r="D22" s="7">
        <v>273.56700000000001</v>
      </c>
      <c r="E22" s="6" t="s">
        <v>15</v>
      </c>
      <c r="F22" s="6" t="s">
        <v>8</v>
      </c>
    </row>
    <row r="23" spans="1:6" x14ac:dyDescent="0.35">
      <c r="A23" s="6">
        <v>2021</v>
      </c>
      <c r="B23" s="6">
        <v>9</v>
      </c>
      <c r="C23" s="6">
        <v>21</v>
      </c>
      <c r="D23" s="7">
        <v>274.31</v>
      </c>
      <c r="E23" s="6" t="s">
        <v>16</v>
      </c>
      <c r="F23" s="6" t="s">
        <v>8</v>
      </c>
    </row>
    <row r="24" spans="1:6" x14ac:dyDescent="0.35">
      <c r="A24" s="6">
        <v>2021</v>
      </c>
      <c r="B24" s="6">
        <v>10</v>
      </c>
      <c r="C24" s="6">
        <v>22</v>
      </c>
      <c r="D24" s="7">
        <v>276.589</v>
      </c>
      <c r="E24" s="6" t="s">
        <v>17</v>
      </c>
      <c r="F24" s="6" t="s">
        <v>8</v>
      </c>
    </row>
    <row r="25" spans="1:6" x14ac:dyDescent="0.35">
      <c r="A25" s="6">
        <v>2021</v>
      </c>
      <c r="B25" s="6">
        <v>11</v>
      </c>
      <c r="C25" s="6">
        <v>23</v>
      </c>
      <c r="D25" s="7">
        <v>277.94799999999998</v>
      </c>
      <c r="E25" s="6" t="s">
        <v>18</v>
      </c>
      <c r="F25" s="6" t="s">
        <v>8</v>
      </c>
    </row>
    <row r="26" spans="1:6" x14ac:dyDescent="0.35">
      <c r="A26" s="6">
        <v>2021</v>
      </c>
      <c r="B26" s="6">
        <v>12</v>
      </c>
      <c r="C26" s="6">
        <v>24</v>
      </c>
      <c r="D26" s="7">
        <v>278.80200000000002</v>
      </c>
      <c r="E26" s="6" t="s">
        <v>19</v>
      </c>
      <c r="F26" s="6" t="s">
        <v>8</v>
      </c>
    </row>
    <row r="27" spans="1:6" x14ac:dyDescent="0.35">
      <c r="A27" s="4">
        <v>2022</v>
      </c>
      <c r="B27" s="4">
        <v>1</v>
      </c>
      <c r="C27" s="4">
        <v>25</v>
      </c>
      <c r="D27" s="5">
        <v>281.14800000000002</v>
      </c>
      <c r="E27" s="4" t="s">
        <v>7</v>
      </c>
      <c r="F27" s="4" t="s">
        <v>8</v>
      </c>
    </row>
    <row r="28" spans="1:6" x14ac:dyDescent="0.35">
      <c r="A28" s="4">
        <v>2022</v>
      </c>
      <c r="B28" s="4">
        <v>2</v>
      </c>
      <c r="C28" s="4">
        <v>26</v>
      </c>
      <c r="D28" s="5">
        <v>283.71600000000001</v>
      </c>
      <c r="E28" s="4" t="s">
        <v>9</v>
      </c>
      <c r="F28" s="4" t="s">
        <v>8</v>
      </c>
    </row>
    <row r="29" spans="1:6" x14ac:dyDescent="0.35">
      <c r="A29" s="4">
        <v>2022</v>
      </c>
      <c r="B29" s="4">
        <v>3</v>
      </c>
      <c r="C29" s="4">
        <v>27</v>
      </c>
      <c r="D29" s="5">
        <v>287.50400000000002</v>
      </c>
      <c r="E29" s="4" t="s">
        <v>10</v>
      </c>
      <c r="F29" s="4" t="s">
        <v>8</v>
      </c>
    </row>
    <row r="30" spans="1:6" x14ac:dyDescent="0.35">
      <c r="A30" s="4">
        <v>2022</v>
      </c>
      <c r="B30" s="4">
        <v>4</v>
      </c>
      <c r="C30" s="4">
        <v>28</v>
      </c>
      <c r="D30" s="5">
        <v>289.10899999999998</v>
      </c>
      <c r="E30" s="4" t="s">
        <v>11</v>
      </c>
      <c r="F30" s="4" t="s">
        <v>8</v>
      </c>
    </row>
    <row r="31" spans="1:6" x14ac:dyDescent="0.35">
      <c r="A31" s="4">
        <v>2022</v>
      </c>
      <c r="B31" s="4">
        <v>5</v>
      </c>
      <c r="C31" s="4">
        <v>29</v>
      </c>
      <c r="D31" s="5">
        <v>292.29599999999999</v>
      </c>
      <c r="E31" s="4" t="s">
        <v>12</v>
      </c>
      <c r="F31" s="4" t="s">
        <v>8</v>
      </c>
    </row>
    <row r="32" spans="1:6" x14ac:dyDescent="0.35">
      <c r="A32" s="4">
        <v>2022</v>
      </c>
      <c r="B32" s="4">
        <v>6</v>
      </c>
      <c r="C32" s="4">
        <v>30</v>
      </c>
      <c r="D32" s="5">
        <v>296.31099999999998</v>
      </c>
      <c r="E32" s="4" t="s">
        <v>13</v>
      </c>
      <c r="F32" s="4" t="s">
        <v>8</v>
      </c>
    </row>
    <row r="33" spans="1:6" x14ac:dyDescent="0.35">
      <c r="A33" s="4">
        <v>2022</v>
      </c>
      <c r="B33" s="4">
        <v>7</v>
      </c>
      <c r="C33" s="4">
        <v>31</v>
      </c>
      <c r="D33" s="5">
        <v>296.27600000000001</v>
      </c>
      <c r="E33" s="4" t="s">
        <v>14</v>
      </c>
      <c r="F33" s="4" t="s">
        <v>8</v>
      </c>
    </row>
    <row r="34" spans="1:6" x14ac:dyDescent="0.35">
      <c r="A34" s="4">
        <v>2022</v>
      </c>
      <c r="B34" s="4">
        <v>8</v>
      </c>
      <c r="C34" s="4">
        <v>32</v>
      </c>
      <c r="D34" s="5">
        <v>296.17099999999999</v>
      </c>
      <c r="E34" s="4" t="s">
        <v>15</v>
      </c>
      <c r="F34" s="4" t="s">
        <v>8</v>
      </c>
    </row>
    <row r="35" spans="1:6" x14ac:dyDescent="0.35">
      <c r="A35" s="4">
        <v>2022</v>
      </c>
      <c r="B35" s="4">
        <v>9</v>
      </c>
      <c r="C35" s="4">
        <v>33</v>
      </c>
      <c r="D35" s="5">
        <v>296.80799999999999</v>
      </c>
      <c r="E35" s="4" t="s">
        <v>16</v>
      </c>
      <c r="F35" s="4" t="s">
        <v>8</v>
      </c>
    </row>
    <row r="36" spans="1:6" x14ac:dyDescent="0.35">
      <c r="A36" s="4">
        <v>2022</v>
      </c>
      <c r="B36" s="4">
        <v>10</v>
      </c>
      <c r="C36" s="4">
        <v>34</v>
      </c>
      <c r="D36" s="5">
        <v>298.012</v>
      </c>
      <c r="E36" s="4" t="s">
        <v>17</v>
      </c>
      <c r="F36" s="4" t="s">
        <v>8</v>
      </c>
    </row>
    <row r="37" spans="1:6" x14ac:dyDescent="0.35">
      <c r="A37" s="4">
        <v>2022</v>
      </c>
      <c r="B37" s="4">
        <v>11</v>
      </c>
      <c r="C37" s="4">
        <v>35</v>
      </c>
      <c r="D37" s="5">
        <v>297.71100000000001</v>
      </c>
      <c r="E37" s="4" t="s">
        <v>18</v>
      </c>
      <c r="F37" s="4" t="s">
        <v>8</v>
      </c>
    </row>
    <row r="38" spans="1:6" x14ac:dyDescent="0.35">
      <c r="A38" s="4">
        <v>2022</v>
      </c>
      <c r="B38" s="4">
        <v>12</v>
      </c>
      <c r="C38" s="4">
        <v>36</v>
      </c>
      <c r="D38" s="5">
        <v>296.79700000000003</v>
      </c>
      <c r="E38" s="4" t="s">
        <v>19</v>
      </c>
      <c r="F38" s="4" t="s">
        <v>8</v>
      </c>
    </row>
    <row r="39" spans="1:6" x14ac:dyDescent="0.35">
      <c r="A39" s="6">
        <v>2023</v>
      </c>
      <c r="B39" s="6">
        <v>1</v>
      </c>
      <c r="C39" s="6">
        <v>37</v>
      </c>
      <c r="D39" s="7">
        <v>299.17</v>
      </c>
      <c r="E39" s="6" t="s">
        <v>7</v>
      </c>
      <c r="F39" s="6" t="s">
        <v>8</v>
      </c>
    </row>
    <row r="40" spans="1:6" x14ac:dyDescent="0.35">
      <c r="A40" s="6">
        <v>2023</v>
      </c>
      <c r="B40" s="6">
        <v>2</v>
      </c>
      <c r="C40" s="6">
        <v>38</v>
      </c>
      <c r="D40" s="7">
        <v>300.83999999999997</v>
      </c>
      <c r="E40" s="6" t="s">
        <v>9</v>
      </c>
      <c r="F40" s="6" t="s">
        <v>8</v>
      </c>
    </row>
    <row r="41" spans="1:6" x14ac:dyDescent="0.35">
      <c r="A41" s="6">
        <v>2023</v>
      </c>
      <c r="B41" s="6">
        <v>3</v>
      </c>
      <c r="C41" s="6">
        <v>39</v>
      </c>
      <c r="D41" s="7">
        <v>301.83600000000001</v>
      </c>
      <c r="E41" s="6" t="s">
        <v>10</v>
      </c>
      <c r="F41" s="6" t="s">
        <v>8</v>
      </c>
    </row>
    <row r="42" spans="1:6" x14ac:dyDescent="0.35">
      <c r="A42" s="6">
        <v>2023</v>
      </c>
      <c r="B42" s="6">
        <v>4</v>
      </c>
      <c r="C42" s="6">
        <v>40</v>
      </c>
      <c r="D42" s="7">
        <v>303.363</v>
      </c>
      <c r="E42" s="6" t="s">
        <v>11</v>
      </c>
      <c r="F42" s="6" t="s">
        <v>8</v>
      </c>
    </row>
    <row r="43" spans="1:6" x14ac:dyDescent="0.35">
      <c r="A43" s="6">
        <v>2023</v>
      </c>
      <c r="B43" s="6">
        <v>5</v>
      </c>
      <c r="C43" s="6">
        <v>41</v>
      </c>
      <c r="D43" s="7">
        <v>304.12700000000001</v>
      </c>
      <c r="E43" s="6" t="s">
        <v>12</v>
      </c>
      <c r="F43" s="6" t="s">
        <v>8</v>
      </c>
    </row>
    <row r="44" spans="1:6" x14ac:dyDescent="0.35">
      <c r="A44" s="6">
        <v>2023</v>
      </c>
      <c r="B44" s="6">
        <v>6</v>
      </c>
      <c r="C44" s="6">
        <v>42</v>
      </c>
      <c r="D44" s="7">
        <v>305.10899999999998</v>
      </c>
      <c r="E44" s="6" t="s">
        <v>13</v>
      </c>
      <c r="F44" s="6" t="s">
        <v>8</v>
      </c>
    </row>
    <row r="45" spans="1:6" x14ac:dyDescent="0.35">
      <c r="A45" s="6">
        <v>2023</v>
      </c>
      <c r="B45" s="6">
        <v>7</v>
      </c>
      <c r="C45" s="6">
        <v>43</v>
      </c>
      <c r="D45" s="7">
        <v>305.69099999999997</v>
      </c>
      <c r="E45" s="6" t="s">
        <v>14</v>
      </c>
      <c r="F45" s="6" t="s">
        <v>8</v>
      </c>
    </row>
    <row r="46" spans="1:6" x14ac:dyDescent="0.35">
      <c r="A46" s="6">
        <v>2023</v>
      </c>
      <c r="B46" s="6">
        <v>8</v>
      </c>
      <c r="C46" s="6">
        <v>44</v>
      </c>
      <c r="D46" s="7">
        <v>307.02600000000001</v>
      </c>
      <c r="E46" s="6" t="s">
        <v>15</v>
      </c>
      <c r="F46" s="6" t="s">
        <v>8</v>
      </c>
    </row>
    <row r="47" spans="1:6" x14ac:dyDescent="0.35">
      <c r="A47" s="6">
        <v>2023</v>
      </c>
      <c r="B47" s="6">
        <v>9</v>
      </c>
      <c r="C47" s="6">
        <v>45</v>
      </c>
      <c r="D47" s="7">
        <v>307.78899999999999</v>
      </c>
      <c r="E47" s="6" t="s">
        <v>16</v>
      </c>
      <c r="F47" s="6" t="s">
        <v>8</v>
      </c>
    </row>
    <row r="48" spans="1:6" x14ac:dyDescent="0.35">
      <c r="A48" s="6">
        <v>2023</v>
      </c>
      <c r="B48" s="6">
        <v>10</v>
      </c>
      <c r="C48" s="6">
        <v>46</v>
      </c>
      <c r="D48" s="7">
        <v>307.67099999999999</v>
      </c>
      <c r="E48" s="6" t="s">
        <v>17</v>
      </c>
      <c r="F48" s="6" t="s">
        <v>8</v>
      </c>
    </row>
    <row r="49" spans="1:6" x14ac:dyDescent="0.35">
      <c r="A49" s="6">
        <v>2023</v>
      </c>
      <c r="B49" s="6">
        <v>11</v>
      </c>
      <c r="C49" s="6">
        <v>47</v>
      </c>
      <c r="D49" s="7">
        <v>307.05099999999999</v>
      </c>
      <c r="E49" s="6" t="s">
        <v>18</v>
      </c>
      <c r="F49" s="6" t="s">
        <v>8</v>
      </c>
    </row>
    <row r="50" spans="1:6" x14ac:dyDescent="0.35">
      <c r="A50" s="6">
        <v>2023</v>
      </c>
      <c r="B50" s="6">
        <v>12</v>
      </c>
      <c r="C50" s="6">
        <v>48</v>
      </c>
      <c r="D50" s="7">
        <v>306.74599999999998</v>
      </c>
      <c r="E50" s="6" t="s">
        <v>19</v>
      </c>
      <c r="F50" s="6" t="s">
        <v>8</v>
      </c>
    </row>
    <row r="51" spans="1:6" x14ac:dyDescent="0.35">
      <c r="A51" s="4">
        <v>2024</v>
      </c>
      <c r="B51" s="4">
        <v>1</v>
      </c>
      <c r="C51" s="4">
        <v>49</v>
      </c>
      <c r="D51" s="5">
        <v>308.41699999999997</v>
      </c>
      <c r="E51" s="4" t="s">
        <v>7</v>
      </c>
      <c r="F51" s="4" t="s">
        <v>8</v>
      </c>
    </row>
    <row r="52" spans="1:6" x14ac:dyDescent="0.35">
      <c r="A52" s="4">
        <v>2024</v>
      </c>
      <c r="B52" s="4">
        <v>2</v>
      </c>
      <c r="C52" s="4">
        <v>50</v>
      </c>
      <c r="D52" s="5">
        <v>310.32600000000002</v>
      </c>
      <c r="E52" s="4" t="s">
        <v>9</v>
      </c>
      <c r="F52" s="4" t="s">
        <v>8</v>
      </c>
    </row>
    <row r="53" spans="1:6" x14ac:dyDescent="0.35">
      <c r="A53" s="4">
        <v>2024</v>
      </c>
      <c r="B53" s="4">
        <v>3</v>
      </c>
      <c r="C53" s="4">
        <v>51</v>
      </c>
      <c r="D53" s="5">
        <v>312.33199999999999</v>
      </c>
      <c r="E53" s="4" t="s">
        <v>10</v>
      </c>
      <c r="F53" s="4" t="s">
        <v>8</v>
      </c>
    </row>
    <row r="54" spans="1:6" x14ac:dyDescent="0.35">
      <c r="A54" s="4">
        <v>2024</v>
      </c>
      <c r="B54" s="4">
        <v>4</v>
      </c>
      <c r="C54" s="4">
        <v>52</v>
      </c>
      <c r="D54" s="5">
        <v>313.548</v>
      </c>
      <c r="E54" s="4" t="s">
        <v>11</v>
      </c>
      <c r="F54" s="4" t="s">
        <v>8</v>
      </c>
    </row>
    <row r="55" spans="1:6" x14ac:dyDescent="0.35">
      <c r="A55" s="4">
        <v>2024</v>
      </c>
      <c r="B55" s="4">
        <v>5</v>
      </c>
      <c r="C55" s="4">
        <v>53</v>
      </c>
      <c r="D55" s="5">
        <v>314.06900000000002</v>
      </c>
      <c r="E55" s="4" t="s">
        <v>12</v>
      </c>
      <c r="F55" s="4" t="s">
        <v>8</v>
      </c>
    </row>
    <row r="56" spans="1:6" x14ac:dyDescent="0.35">
      <c r="A56" s="4">
        <v>2024</v>
      </c>
      <c r="B56" s="4">
        <v>6</v>
      </c>
      <c r="C56" s="4">
        <v>54</v>
      </c>
      <c r="D56" s="5">
        <v>314.17500000000001</v>
      </c>
      <c r="E56" s="4" t="s">
        <v>13</v>
      </c>
      <c r="F56" s="4" t="s">
        <v>8</v>
      </c>
    </row>
    <row r="57" spans="1:6" x14ac:dyDescent="0.35">
      <c r="A57" s="4">
        <v>2024</v>
      </c>
      <c r="B57" s="4">
        <v>7</v>
      </c>
      <c r="C57" s="4">
        <v>55</v>
      </c>
      <c r="D57" s="5">
        <v>314.54000000000002</v>
      </c>
      <c r="E57" s="4" t="s">
        <v>14</v>
      </c>
      <c r="F57" s="4" t="s">
        <v>8</v>
      </c>
    </row>
    <row r="58" spans="1:6" x14ac:dyDescent="0.35">
      <c r="A58" s="4">
        <v>2024</v>
      </c>
      <c r="B58" s="4">
        <v>8</v>
      </c>
      <c r="C58" s="4">
        <v>56</v>
      </c>
      <c r="D58" s="5">
        <v>314.79599999999999</v>
      </c>
      <c r="E58" s="4" t="s">
        <v>15</v>
      </c>
      <c r="F58" s="4" t="s">
        <v>8</v>
      </c>
    </row>
    <row r="59" spans="1:6" x14ac:dyDescent="0.35">
      <c r="A59" s="4">
        <v>2024</v>
      </c>
      <c r="B59" s="4">
        <v>9</v>
      </c>
      <c r="C59" s="4">
        <v>57</v>
      </c>
      <c r="D59" s="5">
        <v>315.30099999999999</v>
      </c>
      <c r="E59" s="4" t="s">
        <v>16</v>
      </c>
      <c r="F59" s="4" t="s">
        <v>8</v>
      </c>
    </row>
    <row r="60" spans="1:6" x14ac:dyDescent="0.35">
      <c r="A60" s="4">
        <v>2024</v>
      </c>
      <c r="B60" s="4">
        <v>10</v>
      </c>
      <c r="C60" s="4">
        <v>58</v>
      </c>
      <c r="D60" s="5">
        <v>315.66399999999999</v>
      </c>
      <c r="E60" s="4" t="s">
        <v>17</v>
      </c>
      <c r="F60" s="4" t="s">
        <v>8</v>
      </c>
    </row>
    <row r="61" spans="1:6" x14ac:dyDescent="0.35">
      <c r="A61" s="4">
        <v>2024</v>
      </c>
      <c r="B61" s="4">
        <v>11</v>
      </c>
      <c r="C61" s="4">
        <v>59</v>
      </c>
      <c r="D61" s="5">
        <v>315.49299999999999</v>
      </c>
      <c r="E61" s="4" t="s">
        <v>18</v>
      </c>
      <c r="F61" s="4" t="s">
        <v>8</v>
      </c>
    </row>
    <row r="62" spans="1:6" x14ac:dyDescent="0.35">
      <c r="A62" s="4">
        <v>2024</v>
      </c>
      <c r="B62" s="4">
        <v>12</v>
      </c>
      <c r="C62" s="4">
        <v>60</v>
      </c>
      <c r="D62" s="5">
        <v>315.60500000000002</v>
      </c>
      <c r="E62" s="4" t="s">
        <v>19</v>
      </c>
      <c r="F62" s="4" t="s">
        <v>8</v>
      </c>
    </row>
    <row r="64" spans="1:6" x14ac:dyDescent="0.35">
      <c r="A64" s="1" t="s">
        <v>20</v>
      </c>
      <c r="B64" s="1"/>
      <c r="C64" s="1"/>
      <c r="D64" s="1"/>
      <c r="E64" s="1"/>
      <c r="F64" s="1"/>
    </row>
    <row r="65" spans="1:6" x14ac:dyDescent="0.35">
      <c r="A65" s="8">
        <v>2025</v>
      </c>
      <c r="B65" s="8">
        <v>1</v>
      </c>
      <c r="C65" s="8">
        <v>61</v>
      </c>
      <c r="D65" s="8"/>
      <c r="E65" s="8" t="s">
        <v>7</v>
      </c>
      <c r="F65" s="8" t="s">
        <v>21</v>
      </c>
    </row>
    <row r="66" spans="1:6" x14ac:dyDescent="0.35">
      <c r="A66" s="8">
        <v>2025</v>
      </c>
      <c r="B66" s="8">
        <v>2</v>
      </c>
      <c r="C66" s="8">
        <v>62</v>
      </c>
      <c r="D66" s="8"/>
      <c r="E66" s="8" t="s">
        <v>9</v>
      </c>
      <c r="F66" s="8" t="s">
        <v>21</v>
      </c>
    </row>
    <row r="67" spans="1:6" x14ac:dyDescent="0.35">
      <c r="A67" s="8">
        <v>2025</v>
      </c>
      <c r="B67" s="8">
        <v>3</v>
      </c>
      <c r="C67" s="8">
        <v>63</v>
      </c>
      <c r="D67" s="8"/>
      <c r="E67" s="8" t="s">
        <v>10</v>
      </c>
      <c r="F67" s="8" t="s">
        <v>21</v>
      </c>
    </row>
    <row r="68" spans="1:6" x14ac:dyDescent="0.35">
      <c r="A68" s="8">
        <v>2025</v>
      </c>
      <c r="B68" s="8">
        <v>4</v>
      </c>
      <c r="C68" s="8">
        <v>64</v>
      </c>
      <c r="D68" s="8"/>
      <c r="E68" s="8" t="s">
        <v>11</v>
      </c>
      <c r="F68" s="8" t="s">
        <v>21</v>
      </c>
    </row>
    <row r="69" spans="1:6" x14ac:dyDescent="0.35">
      <c r="A69" s="8">
        <v>2025</v>
      </c>
      <c r="B69" s="8">
        <v>5</v>
      </c>
      <c r="C69" s="8">
        <v>65</v>
      </c>
      <c r="D69" s="8"/>
      <c r="E69" s="8" t="s">
        <v>12</v>
      </c>
      <c r="F69" s="8" t="s">
        <v>21</v>
      </c>
    </row>
    <row r="70" spans="1:6" x14ac:dyDescent="0.35">
      <c r="A70" s="8">
        <v>2025</v>
      </c>
      <c r="B70" s="8">
        <v>6</v>
      </c>
      <c r="C70" s="8">
        <v>66</v>
      </c>
      <c r="D70" s="8"/>
      <c r="E70" s="8" t="s">
        <v>13</v>
      </c>
      <c r="F70" s="8" t="s">
        <v>21</v>
      </c>
    </row>
    <row r="71" spans="1:6" x14ac:dyDescent="0.35">
      <c r="A71" s="8">
        <v>2025</v>
      </c>
      <c r="B71" s="8">
        <v>7</v>
      </c>
      <c r="C71" s="8">
        <v>67</v>
      </c>
      <c r="D71" s="8"/>
      <c r="E71" s="8" t="s">
        <v>14</v>
      </c>
      <c r="F71" s="8" t="s">
        <v>21</v>
      </c>
    </row>
    <row r="72" spans="1:6" x14ac:dyDescent="0.35">
      <c r="A72" s="8">
        <v>2025</v>
      </c>
      <c r="B72" s="8">
        <v>8</v>
      </c>
      <c r="C72" s="8">
        <v>68</v>
      </c>
      <c r="D72" s="8"/>
      <c r="E72" s="8" t="s">
        <v>15</v>
      </c>
      <c r="F72" s="8" t="s">
        <v>21</v>
      </c>
    </row>
    <row r="73" spans="1:6" x14ac:dyDescent="0.35">
      <c r="A73" s="8">
        <v>2025</v>
      </c>
      <c r="B73" s="8">
        <v>9</v>
      </c>
      <c r="C73" s="8">
        <v>69</v>
      </c>
      <c r="D73" s="8"/>
      <c r="E73" s="8" t="s">
        <v>16</v>
      </c>
      <c r="F73" s="8" t="s">
        <v>21</v>
      </c>
    </row>
    <row r="74" spans="1:6" x14ac:dyDescent="0.35">
      <c r="A74" s="8">
        <v>2025</v>
      </c>
      <c r="B74" s="8">
        <v>10</v>
      </c>
      <c r="C74" s="8">
        <v>70</v>
      </c>
      <c r="D74" s="8"/>
      <c r="E74" s="8" t="s">
        <v>17</v>
      </c>
      <c r="F74" s="8" t="s">
        <v>21</v>
      </c>
    </row>
    <row r="75" spans="1:6" x14ac:dyDescent="0.35">
      <c r="A75" s="8">
        <v>2025</v>
      </c>
      <c r="B75" s="8">
        <v>11</v>
      </c>
      <c r="C75" s="8">
        <v>71</v>
      </c>
      <c r="D75" s="8"/>
      <c r="E75" s="8" t="s">
        <v>18</v>
      </c>
      <c r="F75" s="8" t="s">
        <v>21</v>
      </c>
    </row>
    <row r="76" spans="1:6" x14ac:dyDescent="0.35">
      <c r="A76" s="8">
        <v>2025</v>
      </c>
      <c r="B76" s="8">
        <v>12</v>
      </c>
      <c r="C76" s="8">
        <v>72</v>
      </c>
      <c r="D76" s="8"/>
      <c r="E76" s="8" t="s">
        <v>19</v>
      </c>
      <c r="F76" s="8" t="s">
        <v>21</v>
      </c>
    </row>
  </sheetData>
  <mergeCells count="2">
    <mergeCell ref="A1:F1"/>
    <mergeCell ref="A64:F6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4"/>
  <sheetViews>
    <sheetView topLeftCell="V1" zoomScale="85" zoomScaleNormal="160" workbookViewId="0">
      <selection activeCell="C21" sqref="C21"/>
    </sheetView>
  </sheetViews>
  <sheetFormatPr defaultColWidth="8.6328125" defaultRowHeight="14.5" x14ac:dyDescent="0.35"/>
  <cols>
    <col min="1" max="1" width="6" customWidth="1"/>
    <col min="2" max="2" width="4" customWidth="1"/>
    <col min="3" max="4" width="9" customWidth="1"/>
    <col min="5" max="5" width="8" customWidth="1"/>
    <col min="6" max="6" width="9" customWidth="1"/>
    <col min="7" max="7" width="14" customWidth="1"/>
    <col min="8" max="11" width="9" customWidth="1"/>
    <col min="12" max="12" width="11" customWidth="1"/>
    <col min="13" max="13" width="13" customWidth="1"/>
    <col min="14" max="14" width="10" customWidth="1"/>
    <col min="15" max="15" width="9" customWidth="1"/>
    <col min="16" max="16" width="19" customWidth="1"/>
    <col min="17" max="17" width="13" customWidth="1"/>
    <col min="18" max="18" width="15" customWidth="1"/>
    <col min="19" max="19" width="11" customWidth="1"/>
    <col min="20" max="20" width="10" customWidth="1"/>
    <col min="21" max="21" width="15" customWidth="1"/>
    <col min="22" max="22" width="13" customWidth="1"/>
    <col min="23" max="23" width="15" customWidth="1"/>
    <col min="24" max="24" width="14" customWidth="1"/>
  </cols>
  <sheetData>
    <row r="1" spans="1:24" x14ac:dyDescent="0.35">
      <c r="A1" s="9" t="s">
        <v>1</v>
      </c>
      <c r="B1" s="9" t="s">
        <v>3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10" t="s">
        <v>35</v>
      </c>
    </row>
    <row r="2" spans="1:24" x14ac:dyDescent="0.35">
      <c r="C2" s="9" t="s">
        <v>36</v>
      </c>
      <c r="D2" s="9" t="s">
        <v>37</v>
      </c>
      <c r="E2" s="9" t="s">
        <v>38</v>
      </c>
      <c r="G2" s="9" t="s">
        <v>39</v>
      </c>
      <c r="H2" s="9" t="s">
        <v>40</v>
      </c>
      <c r="I2" s="9" t="s">
        <v>41</v>
      </c>
      <c r="J2" s="9" t="s">
        <v>42</v>
      </c>
      <c r="K2" s="9" t="s">
        <v>43</v>
      </c>
      <c r="L2" s="9" t="s">
        <v>44</v>
      </c>
      <c r="M2" s="9" t="s">
        <v>45</v>
      </c>
      <c r="N2" s="9" t="s">
        <v>46</v>
      </c>
    </row>
    <row r="3" spans="1:24" x14ac:dyDescent="0.35">
      <c r="A3" s="11">
        <v>1</v>
      </c>
      <c r="B3" s="11">
        <v>1</v>
      </c>
      <c r="C3" s="12">
        <v>257.971</v>
      </c>
      <c r="F3" s="13">
        <f t="shared" ref="F3:F8" si="0">AVERAGE(E15,E27,E39,E51)</f>
        <v>0.99434891193888775</v>
      </c>
      <c r="G3" s="13">
        <f t="shared" ref="G3:G14" si="1">F3*12/SUM(F$3:F$14)</f>
        <v>0.9943303943269991</v>
      </c>
      <c r="H3" s="14">
        <f t="shared" ref="H3:H34" si="2">C3/G3</f>
        <v>259.44193345774636</v>
      </c>
      <c r="I3" s="14">
        <f t="shared" ref="I3:I34" si="3">(Q$17+Q$18*B3)</f>
        <v>253.14279571391128</v>
      </c>
      <c r="J3" s="14">
        <f t="shared" ref="J3:J34" si="4">(Q$17+Q$18*B3)*G3</f>
        <v>251.70757588325239</v>
      </c>
      <c r="K3" s="13">
        <f t="shared" ref="K3:K34" si="5">C3/J3</f>
        <v>1.024883733017447</v>
      </c>
      <c r="N3" s="13">
        <f t="shared" ref="N3:N34" si="6">(C3-J3)^2</f>
        <v>39.230481666255642</v>
      </c>
      <c r="O3" s="13">
        <f t="shared" ref="O3:O34" si="7">ABS(C3-J3)/C3</f>
        <v>2.4279566760401806E-2</v>
      </c>
      <c r="P3" s="15" t="s">
        <v>47</v>
      </c>
    </row>
    <row r="4" spans="1:24" x14ac:dyDescent="0.35">
      <c r="B4" s="11">
        <v>2</v>
      </c>
      <c r="C4" s="12">
        <v>258.678</v>
      </c>
      <c r="F4" s="13">
        <f t="shared" si="0"/>
        <v>0.99688248643169108</v>
      </c>
      <c r="G4" s="13">
        <f t="shared" si="1"/>
        <v>0.99686392163742144</v>
      </c>
      <c r="H4" s="14">
        <f t="shared" si="2"/>
        <v>259.49178657715146</v>
      </c>
      <c r="I4" s="14">
        <f t="shared" si="3"/>
        <v>254.33010778435258</v>
      </c>
      <c r="J4" s="14">
        <f t="shared" si="4"/>
        <v>253.5325086363778</v>
      </c>
      <c r="K4" s="13">
        <f t="shared" si="5"/>
        <v>1.020295193666868</v>
      </c>
      <c r="L4" s="13">
        <f t="shared" ref="L4:L35" si="8">AVERAGE(K3:K5)</f>
        <v>1.0183200543307422</v>
      </c>
      <c r="M4" s="13">
        <f t="shared" ref="M4:M35" si="9">K4/L4</f>
        <v>1.0019396056551433</v>
      </c>
      <c r="N4" s="13">
        <f t="shared" si="6"/>
        <v>26.476081373110635</v>
      </c>
      <c r="O4" s="13">
        <f t="shared" si="7"/>
        <v>1.9891491984715355E-2</v>
      </c>
      <c r="P4" s="15" t="s">
        <v>48</v>
      </c>
      <c r="Q4" s="16">
        <v>0.98448620243021701</v>
      </c>
    </row>
    <row r="5" spans="1:24" x14ac:dyDescent="0.35">
      <c r="B5" s="11">
        <v>3</v>
      </c>
      <c r="C5" s="12">
        <v>258.11500000000001</v>
      </c>
      <c r="F5" s="13">
        <f t="shared" si="0"/>
        <v>1.0003996284315755</v>
      </c>
      <c r="G5" s="13">
        <f t="shared" si="1"/>
        <v>1.0003809981380936</v>
      </c>
      <c r="H5" s="14">
        <f t="shared" si="2"/>
        <v>258.01669611918157</v>
      </c>
      <c r="I5" s="14">
        <f t="shared" si="3"/>
        <v>255.5174198547939</v>
      </c>
      <c r="J5" s="14">
        <f t="shared" si="4"/>
        <v>255.61477151600906</v>
      </c>
      <c r="K5" s="13">
        <f t="shared" si="5"/>
        <v>1.0097812363079117</v>
      </c>
      <c r="L5" s="13">
        <f t="shared" si="8"/>
        <v>1.0089340210743918</v>
      </c>
      <c r="M5" s="13">
        <f t="shared" si="9"/>
        <v>1.0008397132179345</v>
      </c>
      <c r="N5" s="13">
        <f t="shared" si="6"/>
        <v>6.2511424721596942</v>
      </c>
      <c r="O5" s="13">
        <f t="shared" si="7"/>
        <v>9.6864904557695287E-3</v>
      </c>
      <c r="P5" s="15" t="s">
        <v>49</v>
      </c>
      <c r="Q5" s="16">
        <v>0.96921308277547003</v>
      </c>
    </row>
    <row r="6" spans="1:24" x14ac:dyDescent="0.35">
      <c r="B6" s="11">
        <v>4</v>
      </c>
      <c r="C6" s="12">
        <v>256.38900000000001</v>
      </c>
      <c r="F6" s="13">
        <f t="shared" si="0"/>
        <v>1.0020698023602506</v>
      </c>
      <c r="G6" s="13">
        <f t="shared" si="1"/>
        <v>1.0020511409633679</v>
      </c>
      <c r="H6" s="14">
        <f t="shared" si="2"/>
        <v>255.8641864860397</v>
      </c>
      <c r="I6" s="14">
        <f t="shared" si="3"/>
        <v>256.70473192523519</v>
      </c>
      <c r="J6" s="14">
        <f t="shared" si="4"/>
        <v>257.23126951637744</v>
      </c>
      <c r="K6" s="13">
        <f t="shared" si="5"/>
        <v>0.99672563324839558</v>
      </c>
      <c r="L6" s="13">
        <f t="shared" si="8"/>
        <v>0.99896654419622699</v>
      </c>
      <c r="M6" s="13">
        <f t="shared" si="9"/>
        <v>0.99775677077390568</v>
      </c>
      <c r="N6" s="13">
        <f t="shared" si="6"/>
        <v>0.70941793821866628</v>
      </c>
      <c r="O6" s="13">
        <f t="shared" si="7"/>
        <v>3.2851234506060239E-3</v>
      </c>
      <c r="P6" s="15" t="s">
        <v>50</v>
      </c>
      <c r="Q6" s="16">
        <v>0.96868227385780603</v>
      </c>
    </row>
    <row r="7" spans="1:24" x14ac:dyDescent="0.35">
      <c r="B7" s="11">
        <v>5</v>
      </c>
      <c r="C7" s="12">
        <v>256.39400000000001</v>
      </c>
      <c r="F7" s="13">
        <f t="shared" si="0"/>
        <v>1.0038539753642812</v>
      </c>
      <c r="G7" s="13">
        <f t="shared" si="1"/>
        <v>1.00383528074101</v>
      </c>
      <c r="H7" s="14">
        <f t="shared" si="2"/>
        <v>255.41441401694445</v>
      </c>
      <c r="I7" s="14">
        <f t="shared" si="3"/>
        <v>257.89204399567649</v>
      </c>
      <c r="J7" s="14">
        <f t="shared" si="4"/>
        <v>258.88113238527279</v>
      </c>
      <c r="K7" s="13">
        <f t="shared" si="5"/>
        <v>0.99039276303237356</v>
      </c>
      <c r="L7" s="13">
        <f t="shared" si="8"/>
        <v>0.99191720599485089</v>
      </c>
      <c r="M7" s="13">
        <f t="shared" si="9"/>
        <v>0.99846313487328975</v>
      </c>
      <c r="N7" s="13">
        <f t="shared" si="6"/>
        <v>6.1858275018727022</v>
      </c>
      <c r="O7" s="13">
        <f t="shared" si="7"/>
        <v>9.7004313099089169E-3</v>
      </c>
      <c r="P7" s="15" t="s">
        <v>51</v>
      </c>
      <c r="Q7" s="16">
        <v>3.72735089821118</v>
      </c>
    </row>
    <row r="8" spans="1:24" x14ac:dyDescent="0.35">
      <c r="B8" s="11">
        <v>6</v>
      </c>
      <c r="C8" s="12">
        <v>257.79700000000003</v>
      </c>
      <c r="F8" s="13">
        <f t="shared" si="0"/>
        <v>1.006509637750431</v>
      </c>
      <c r="G8" s="13">
        <f t="shared" si="1"/>
        <v>1.0064908936711543</v>
      </c>
      <c r="H8" s="14">
        <f t="shared" si="2"/>
        <v>256.13445846458768</v>
      </c>
      <c r="I8" s="14">
        <f t="shared" si="3"/>
        <v>259.07935606611778</v>
      </c>
      <c r="J8" s="14">
        <f t="shared" si="4"/>
        <v>260.76101261873407</v>
      </c>
      <c r="K8" s="13">
        <f t="shared" si="5"/>
        <v>0.98863322170378354</v>
      </c>
      <c r="L8" s="13">
        <f t="shared" si="8"/>
        <v>0.99013547211838648</v>
      </c>
      <c r="M8" s="13">
        <f t="shared" si="9"/>
        <v>0.9984827829555597</v>
      </c>
      <c r="N8" s="13">
        <f t="shared" si="6"/>
        <v>8.7853708040146543</v>
      </c>
      <c r="O8" s="13">
        <f t="shared" si="7"/>
        <v>1.149746745979994E-2</v>
      </c>
      <c r="P8" s="15" t="s">
        <v>52</v>
      </c>
      <c r="Q8" s="16">
        <v>60</v>
      </c>
    </row>
    <row r="9" spans="1:24" x14ac:dyDescent="0.35">
      <c r="B9" s="11">
        <v>7</v>
      </c>
      <c r="C9" s="12">
        <v>259.101</v>
      </c>
      <c r="D9" s="14">
        <f t="shared" ref="D9:D56" si="10">(0.5*C3+C4+C5+C6+C7+C8+C9+C10+C11+C12+C13+C14+0.5*C15)/12</f>
        <v>258.96162500000003</v>
      </c>
      <c r="E9" s="13">
        <f t="shared" ref="E9:E56" si="11">C9/D9</f>
        <v>1.0005382071571414</v>
      </c>
      <c r="F9" s="13">
        <f t="shared" ref="F9:F14" si="12">AVERAGE(E9,E21,E33,E45)</f>
        <v>1.0041955264209492</v>
      </c>
      <c r="G9" s="13">
        <f t="shared" si="1"/>
        <v>1.0041768254370236</v>
      </c>
      <c r="H9" s="14">
        <f t="shared" si="2"/>
        <v>258.02328179326162</v>
      </c>
      <c r="I9" s="14">
        <f t="shared" si="3"/>
        <v>260.26666813655908</v>
      </c>
      <c r="J9" s="14">
        <f t="shared" si="4"/>
        <v>261.35375657644124</v>
      </c>
      <c r="K9" s="13">
        <f t="shared" si="5"/>
        <v>0.99138043161900236</v>
      </c>
      <c r="L9" s="13">
        <f t="shared" si="8"/>
        <v>0.99047771002130514</v>
      </c>
      <c r="M9" s="13">
        <f t="shared" si="9"/>
        <v>1.0009114002148294</v>
      </c>
      <c r="N9" s="13">
        <f t="shared" si="6"/>
        <v>5.0749121926992693</v>
      </c>
      <c r="O9" s="13">
        <f t="shared" si="7"/>
        <v>8.6945113158237251E-3</v>
      </c>
    </row>
    <row r="10" spans="1:24" x14ac:dyDescent="0.35">
      <c r="B10" s="11">
        <v>8</v>
      </c>
      <c r="C10" s="12">
        <v>259.91800000000001</v>
      </c>
      <c r="D10" s="14">
        <f t="shared" si="10"/>
        <v>259.29275000000001</v>
      </c>
      <c r="E10" s="13">
        <f t="shared" si="11"/>
        <v>1.0024113670744748</v>
      </c>
      <c r="F10" s="13">
        <f t="shared" si="12"/>
        <v>1.0027478519124449</v>
      </c>
      <c r="G10" s="13">
        <f t="shared" si="1"/>
        <v>1.0027291778883463</v>
      </c>
      <c r="H10" s="14">
        <f t="shared" si="2"/>
        <v>259.21056824870993</v>
      </c>
      <c r="I10" s="14">
        <f t="shared" si="3"/>
        <v>261.45398020700037</v>
      </c>
      <c r="J10" s="14">
        <f t="shared" si="4"/>
        <v>262.16753462860146</v>
      </c>
      <c r="K10" s="13">
        <f t="shared" si="5"/>
        <v>0.99141947674112951</v>
      </c>
      <c r="L10" s="13">
        <f t="shared" si="8"/>
        <v>0.99092882686295647</v>
      </c>
      <c r="M10" s="13">
        <f t="shared" si="9"/>
        <v>1.0004951413914622</v>
      </c>
      <c r="N10" s="13">
        <f t="shared" si="6"/>
        <v>5.060406045277074</v>
      </c>
      <c r="O10" s="13">
        <f t="shared" si="7"/>
        <v>8.6547858501583273E-3</v>
      </c>
      <c r="P10" s="15" t="s">
        <v>53</v>
      </c>
    </row>
    <row r="11" spans="1:24" x14ac:dyDescent="0.35">
      <c r="B11" s="11">
        <v>9</v>
      </c>
      <c r="C11" s="12">
        <v>260.27999999999997</v>
      </c>
      <c r="D11" s="14">
        <f t="shared" si="10"/>
        <v>259.7551666666667</v>
      </c>
      <c r="E11" s="13">
        <f t="shared" si="11"/>
        <v>1.0020204923739082</v>
      </c>
      <c r="F11" s="13">
        <f t="shared" si="12"/>
        <v>1.001051856296733</v>
      </c>
      <c r="G11" s="13">
        <f t="shared" si="1"/>
        <v>1.0010332138569085</v>
      </c>
      <c r="H11" s="14">
        <f t="shared" si="2"/>
        <v>260.01135266747042</v>
      </c>
      <c r="I11" s="14">
        <f t="shared" si="3"/>
        <v>262.64129227744166</v>
      </c>
      <c r="J11" s="14">
        <f t="shared" si="4"/>
        <v>262.91265690001904</v>
      </c>
      <c r="K11" s="13">
        <f t="shared" si="5"/>
        <v>0.98998657222873743</v>
      </c>
      <c r="L11" s="13">
        <f t="shared" si="8"/>
        <v>0.98944489001904845</v>
      </c>
      <c r="M11" s="13">
        <f t="shared" si="9"/>
        <v>1.0005474607177753</v>
      </c>
      <c r="N11" s="13">
        <f t="shared" si="6"/>
        <v>6.9308823532180277</v>
      </c>
      <c r="O11" s="13">
        <f t="shared" si="7"/>
        <v>1.0114710696246627E-2</v>
      </c>
      <c r="Q11" s="15" t="s">
        <v>54</v>
      </c>
      <c r="R11" s="15" t="s">
        <v>55</v>
      </c>
      <c r="S11" s="15" t="s">
        <v>56</v>
      </c>
      <c r="T11" s="15" t="s">
        <v>57</v>
      </c>
      <c r="U11" s="15" t="s">
        <v>58</v>
      </c>
    </row>
    <row r="12" spans="1:24" x14ac:dyDescent="0.35">
      <c r="B12" s="11">
        <v>10</v>
      </c>
      <c r="C12" s="12">
        <v>260.38799999999998</v>
      </c>
      <c r="D12" s="14">
        <f t="shared" si="10"/>
        <v>260.48129166666666</v>
      </c>
      <c r="E12" s="13">
        <f t="shared" si="11"/>
        <v>0.99964184887878216</v>
      </c>
      <c r="F12" s="13">
        <f t="shared" si="12"/>
        <v>1.0000493454367831</v>
      </c>
      <c r="G12" s="13">
        <f t="shared" si="1"/>
        <v>1.0000307216665694</v>
      </c>
      <c r="H12" s="14">
        <f t="shared" si="2"/>
        <v>260.38000069243736</v>
      </c>
      <c r="I12" s="14">
        <f t="shared" si="3"/>
        <v>263.82860434788302</v>
      </c>
      <c r="J12" s="14">
        <f t="shared" si="4"/>
        <v>263.83670960229728</v>
      </c>
      <c r="K12" s="13">
        <f t="shared" si="5"/>
        <v>0.98692862108727852</v>
      </c>
      <c r="L12" s="13">
        <f t="shared" si="8"/>
        <v>0.9875550511898018</v>
      </c>
      <c r="M12" s="13">
        <f t="shared" si="9"/>
        <v>0.99936567576484114</v>
      </c>
      <c r="N12" s="13">
        <f t="shared" si="6"/>
        <v>11.893597920977596</v>
      </c>
      <c r="O12" s="13">
        <f t="shared" si="7"/>
        <v>1.3244502827692902E-2</v>
      </c>
      <c r="P12" s="15" t="s">
        <v>59</v>
      </c>
      <c r="Q12" s="16">
        <v>1</v>
      </c>
      <c r="R12" s="16">
        <v>25367.730597318001</v>
      </c>
      <c r="S12" s="16">
        <v>25367.730597318001</v>
      </c>
      <c r="T12" s="16">
        <v>1825.9171059903399</v>
      </c>
      <c r="U12" s="16">
        <v>1.5400501074658999E-45</v>
      </c>
    </row>
    <row r="13" spans="1:24" x14ac:dyDescent="0.35">
      <c r="B13" s="11">
        <v>11</v>
      </c>
      <c r="C13" s="12">
        <v>260.22899999999998</v>
      </c>
      <c r="D13" s="14">
        <f t="shared" si="10"/>
        <v>261.45904166666668</v>
      </c>
      <c r="E13" s="13">
        <f t="shared" si="11"/>
        <v>0.99529547091266835</v>
      </c>
      <c r="F13" s="13">
        <f t="shared" si="12"/>
        <v>0.9961507235595205</v>
      </c>
      <c r="G13" s="13">
        <f t="shared" si="1"/>
        <v>0.99613217239276197</v>
      </c>
      <c r="H13" s="14">
        <f t="shared" si="2"/>
        <v>261.23942907587877</v>
      </c>
      <c r="I13" s="14">
        <f t="shared" si="3"/>
        <v>265.01591641832431</v>
      </c>
      <c r="J13" s="14">
        <f t="shared" si="4"/>
        <v>263.99088054044404</v>
      </c>
      <c r="K13" s="13">
        <f t="shared" si="5"/>
        <v>0.98574996025338946</v>
      </c>
      <c r="L13" s="13">
        <f t="shared" si="8"/>
        <v>0.98636731869245342</v>
      </c>
      <c r="M13" s="13">
        <f t="shared" si="9"/>
        <v>0.99937410898823942</v>
      </c>
      <c r="N13" s="13">
        <f t="shared" si="6"/>
        <v>14.151745200571645</v>
      </c>
      <c r="O13" s="13">
        <f t="shared" si="7"/>
        <v>1.4456038875160162E-2</v>
      </c>
      <c r="P13" s="15" t="s">
        <v>60</v>
      </c>
      <c r="Q13" s="16">
        <v>58</v>
      </c>
      <c r="R13" s="16">
        <v>805.80239366694798</v>
      </c>
      <c r="S13" s="16">
        <v>13.8931447183957</v>
      </c>
    </row>
    <row r="14" spans="1:24" x14ac:dyDescent="0.35">
      <c r="B14" s="11">
        <v>12</v>
      </c>
      <c r="C14" s="12">
        <v>260.47399999999999</v>
      </c>
      <c r="D14" s="14">
        <f t="shared" si="10"/>
        <v>262.57154166666669</v>
      </c>
      <c r="E14" s="13">
        <f t="shared" si="11"/>
        <v>0.99201154225110377</v>
      </c>
      <c r="F14" s="13">
        <f t="shared" si="12"/>
        <v>0.99196373247338798</v>
      </c>
      <c r="G14" s="13">
        <f t="shared" si="1"/>
        <v>0.99194525928034172</v>
      </c>
      <c r="H14" s="14">
        <f t="shared" si="2"/>
        <v>262.58908701169094</v>
      </c>
      <c r="I14" s="14">
        <f t="shared" si="3"/>
        <v>266.2032284887656</v>
      </c>
      <c r="J14" s="14">
        <f t="shared" si="4"/>
        <v>264.05903050455265</v>
      </c>
      <c r="K14" s="13">
        <f t="shared" si="5"/>
        <v>0.98642337473669228</v>
      </c>
      <c r="L14" s="13">
        <f t="shared" si="8"/>
        <v>0.98534278189201796</v>
      </c>
      <c r="M14" s="13">
        <f t="shared" si="9"/>
        <v>1.0010966669310748</v>
      </c>
      <c r="N14" s="13">
        <f t="shared" si="6"/>
        <v>12.852443718573118</v>
      </c>
      <c r="O14" s="13">
        <f t="shared" si="7"/>
        <v>1.3763486968191307E-2</v>
      </c>
      <c r="P14" s="15" t="s">
        <v>61</v>
      </c>
      <c r="Q14" s="16">
        <v>59</v>
      </c>
      <c r="R14" s="16">
        <v>26173.532990984899</v>
      </c>
    </row>
    <row r="15" spans="1:24" x14ac:dyDescent="0.35">
      <c r="A15" s="11">
        <v>2</v>
      </c>
      <c r="B15" s="11">
        <v>13</v>
      </c>
      <c r="C15" s="12">
        <v>261.58199999999999</v>
      </c>
      <c r="D15" s="14">
        <f t="shared" si="10"/>
        <v>263.72991666666667</v>
      </c>
      <c r="E15" s="13">
        <f t="shared" si="11"/>
        <v>0.99185561996979865</v>
      </c>
      <c r="F15" s="13">
        <f>SUM(F3:F14)</f>
        <v>12.000223478376938</v>
      </c>
      <c r="G15" s="13">
        <f t="shared" ref="G15:G26" si="13">G3</f>
        <v>0.9943303943269991</v>
      </c>
      <c r="H15" s="14">
        <f t="shared" si="2"/>
        <v>263.07352313920637</v>
      </c>
      <c r="I15" s="14">
        <f t="shared" si="3"/>
        <v>267.3905405592069</v>
      </c>
      <c r="J15" s="14">
        <f t="shared" si="4"/>
        <v>265.87454163354562</v>
      </c>
      <c r="K15" s="13">
        <f t="shared" si="5"/>
        <v>0.98385501068597225</v>
      </c>
      <c r="L15" s="13">
        <f t="shared" si="8"/>
        <v>0.98421439378639664</v>
      </c>
      <c r="M15" s="13">
        <f t="shared" si="9"/>
        <v>0.9996348528301422</v>
      </c>
      <c r="N15" s="13">
        <f t="shared" si="6"/>
        <v>18.425913675722541</v>
      </c>
      <c r="O15" s="13">
        <f t="shared" si="7"/>
        <v>1.6409927416816236E-2</v>
      </c>
    </row>
    <row r="16" spans="1:24" x14ac:dyDescent="0.35">
      <c r="B16" s="11">
        <v>14</v>
      </c>
      <c r="C16" s="12">
        <v>263.01400000000001</v>
      </c>
      <c r="D16" s="14">
        <f t="shared" si="10"/>
        <v>264.87787500000002</v>
      </c>
      <c r="E16" s="13">
        <f t="shared" si="11"/>
        <v>0.99296326656199574</v>
      </c>
      <c r="G16" s="13">
        <f t="shared" si="13"/>
        <v>0.99686392163742144</v>
      </c>
      <c r="H16" s="14">
        <f t="shared" si="2"/>
        <v>263.84142739159461</v>
      </c>
      <c r="I16" s="14">
        <f t="shared" si="3"/>
        <v>268.57785262964819</v>
      </c>
      <c r="J16" s="14">
        <f t="shared" si="4"/>
        <v>267.73557143734854</v>
      </c>
      <c r="K16" s="13">
        <f t="shared" si="5"/>
        <v>0.9823647959365257</v>
      </c>
      <c r="L16" s="13">
        <f t="shared" si="8"/>
        <v>0.98257526028254638</v>
      </c>
      <c r="M16" s="13">
        <f t="shared" si="9"/>
        <v>0.99978580333280509</v>
      </c>
      <c r="N16" s="13">
        <f t="shared" si="6"/>
        <v>22.293236837985461</v>
      </c>
      <c r="O16" s="13">
        <f t="shared" si="7"/>
        <v>1.7951787499329047E-2</v>
      </c>
      <c r="Q16" s="15" t="s">
        <v>62</v>
      </c>
      <c r="R16" s="15" t="s">
        <v>51</v>
      </c>
      <c r="S16" s="15" t="s">
        <v>63</v>
      </c>
      <c r="T16" s="15" t="s">
        <v>64</v>
      </c>
      <c r="U16" s="15" t="s">
        <v>65</v>
      </c>
      <c r="V16" s="15" t="s">
        <v>66</v>
      </c>
      <c r="W16" s="15" t="s">
        <v>67</v>
      </c>
      <c r="X16" s="15" t="s">
        <v>68</v>
      </c>
    </row>
    <row r="17" spans="1:24" x14ac:dyDescent="0.35">
      <c r="B17" s="11">
        <v>15</v>
      </c>
      <c r="C17" s="12">
        <v>264.87700000000001</v>
      </c>
      <c r="D17" s="14">
        <f t="shared" si="10"/>
        <v>266.03116666666671</v>
      </c>
      <c r="E17" s="13">
        <f t="shared" si="11"/>
        <v>0.99566153589773621</v>
      </c>
      <c r="G17" s="13">
        <f t="shared" si="13"/>
        <v>1.0003809981380936</v>
      </c>
      <c r="H17" s="14">
        <f t="shared" si="2"/>
        <v>264.77612079096701</v>
      </c>
      <c r="I17" s="14">
        <f t="shared" si="3"/>
        <v>269.76516470008949</v>
      </c>
      <c r="J17" s="14">
        <f t="shared" si="4"/>
        <v>269.86794472556272</v>
      </c>
      <c r="K17" s="13">
        <f t="shared" si="5"/>
        <v>0.9815059742251413</v>
      </c>
      <c r="L17" s="13">
        <f t="shared" si="8"/>
        <v>0.98248841100191975</v>
      </c>
      <c r="M17" s="13">
        <f t="shared" si="9"/>
        <v>0.99900005255453694</v>
      </c>
      <c r="N17" s="13">
        <f t="shared" si="6"/>
        <v>24.909529253622264</v>
      </c>
      <c r="O17" s="13">
        <f t="shared" si="7"/>
        <v>1.8842499445262187E-2</v>
      </c>
      <c r="P17" s="15" t="s">
        <v>69</v>
      </c>
      <c r="Q17" s="16">
        <v>251.95548364346999</v>
      </c>
      <c r="R17" s="16">
        <v>0.97455495012112003</v>
      </c>
      <c r="S17" s="16">
        <v>258.53389140566799</v>
      </c>
      <c r="T17" s="16">
        <v>1.66345065380323E-90</v>
      </c>
      <c r="U17" s="16">
        <v>250.00469996055199</v>
      </c>
      <c r="V17" s="16">
        <v>253.90626732638799</v>
      </c>
      <c r="W17" s="16">
        <v>250.00469996055199</v>
      </c>
      <c r="X17" s="16">
        <v>253.90626732638799</v>
      </c>
    </row>
    <row r="18" spans="1:24" x14ac:dyDescent="0.35">
      <c r="B18" s="11">
        <v>16</v>
      </c>
      <c r="C18" s="12">
        <v>267.05399999999997</v>
      </c>
      <c r="D18" s="14">
        <f t="shared" si="10"/>
        <v>267.29079166666668</v>
      </c>
      <c r="E18" s="13">
        <f t="shared" si="11"/>
        <v>0.9991141046603581</v>
      </c>
      <c r="G18" s="13">
        <f t="shared" si="13"/>
        <v>1.0020511409633679</v>
      </c>
      <c r="H18" s="14">
        <f t="shared" si="2"/>
        <v>266.50735584538666</v>
      </c>
      <c r="I18" s="14">
        <f t="shared" si="3"/>
        <v>270.95247677053078</v>
      </c>
      <c r="J18" s="14">
        <f t="shared" si="4"/>
        <v>271.5082384947608</v>
      </c>
      <c r="K18" s="13">
        <f t="shared" si="5"/>
        <v>0.98359446284409235</v>
      </c>
      <c r="L18" s="13">
        <f t="shared" si="8"/>
        <v>0.98350009453911225</v>
      </c>
      <c r="M18" s="13">
        <f t="shared" si="9"/>
        <v>1.0000959514955861</v>
      </c>
      <c r="N18" s="13">
        <f t="shared" si="6"/>
        <v>19.840240568209222</v>
      </c>
      <c r="O18" s="13">
        <f t="shared" si="7"/>
        <v>1.6679167864030609E-2</v>
      </c>
      <c r="P18" s="15" t="s">
        <v>70</v>
      </c>
      <c r="Q18" s="16">
        <v>1.1873120704413</v>
      </c>
      <c r="R18" s="16">
        <v>2.7785892701114898E-2</v>
      </c>
      <c r="S18" s="16">
        <v>42.730751292135402</v>
      </c>
      <c r="T18" s="16">
        <v>1.5400501074660701E-45</v>
      </c>
      <c r="U18" s="16">
        <v>1.1316925632089001</v>
      </c>
      <c r="V18" s="16">
        <v>1.24293157767371</v>
      </c>
      <c r="W18" s="16">
        <v>1.1316925632089001</v>
      </c>
      <c r="X18" s="16">
        <v>1.24293157767371</v>
      </c>
    </row>
    <row r="19" spans="1:24" x14ac:dyDescent="0.35">
      <c r="B19" s="11">
        <v>17</v>
      </c>
      <c r="C19" s="12">
        <v>269.19499999999999</v>
      </c>
      <c r="D19" s="14">
        <f t="shared" si="10"/>
        <v>268.70412500000003</v>
      </c>
      <c r="E19" s="13">
        <f t="shared" si="11"/>
        <v>1.0018268234624235</v>
      </c>
      <c r="G19" s="13">
        <f t="shared" si="13"/>
        <v>1.00383528074101</v>
      </c>
      <c r="H19" s="14">
        <f t="shared" si="2"/>
        <v>268.16650616352706</v>
      </c>
      <c r="I19" s="14">
        <f t="shared" si="3"/>
        <v>272.13978884097207</v>
      </c>
      <c r="J19" s="14">
        <f t="shared" si="4"/>
        <v>273.18352133197641</v>
      </c>
      <c r="K19" s="13">
        <f t="shared" si="5"/>
        <v>0.98539984654810309</v>
      </c>
      <c r="L19" s="13">
        <f t="shared" si="8"/>
        <v>0.98553872746612559</v>
      </c>
      <c r="M19" s="13">
        <f t="shared" si="9"/>
        <v>0.99985908121705214</v>
      </c>
      <c r="N19" s="13">
        <f t="shared" si="6"/>
        <v>15.908302415630914</v>
      </c>
      <c r="O19" s="13">
        <f t="shared" si="7"/>
        <v>1.4816476279189491E-2</v>
      </c>
    </row>
    <row r="20" spans="1:24" x14ac:dyDescent="0.35">
      <c r="B20" s="11">
        <v>18</v>
      </c>
      <c r="C20" s="12">
        <v>271.69600000000003</v>
      </c>
      <c r="D20" s="14">
        <f t="shared" si="10"/>
        <v>270.20608333333331</v>
      </c>
      <c r="E20" s="13">
        <f t="shared" si="11"/>
        <v>1.0055140011960009</v>
      </c>
      <c r="G20" s="13">
        <f t="shared" si="13"/>
        <v>1.0064908936711543</v>
      </c>
      <c r="H20" s="14">
        <f t="shared" si="2"/>
        <v>269.94382334547964</v>
      </c>
      <c r="I20" s="14">
        <f t="shared" si="3"/>
        <v>273.32710091141337</v>
      </c>
      <c r="J20" s="14">
        <f t="shared" si="4"/>
        <v>275.10123806087421</v>
      </c>
      <c r="K20" s="13">
        <f t="shared" si="5"/>
        <v>0.98762187300618154</v>
      </c>
      <c r="L20" s="13">
        <f t="shared" si="8"/>
        <v>0.98779313309060413</v>
      </c>
      <c r="M20" s="13">
        <f t="shared" si="9"/>
        <v>0.9998266235321086</v>
      </c>
      <c r="N20" s="13">
        <f t="shared" si="6"/>
        <v>11.595646251226164</v>
      </c>
      <c r="O20" s="13">
        <f t="shared" si="7"/>
        <v>1.2533265343892375E-2</v>
      </c>
    </row>
    <row r="21" spans="1:24" x14ac:dyDescent="0.35">
      <c r="B21" s="11">
        <v>19</v>
      </c>
      <c r="C21" s="12">
        <v>273.00299999999999</v>
      </c>
      <c r="D21" s="14">
        <f t="shared" si="10"/>
        <v>271.78500000000003</v>
      </c>
      <c r="E21" s="13">
        <f t="shared" si="11"/>
        <v>1.0044814835255806</v>
      </c>
      <c r="G21" s="13">
        <f t="shared" si="13"/>
        <v>1.0041768254370236</v>
      </c>
      <c r="H21" s="14">
        <f t="shared" si="2"/>
        <v>271.8674570897287</v>
      </c>
      <c r="I21" s="14">
        <f t="shared" si="3"/>
        <v>274.51441298185466</v>
      </c>
      <c r="J21" s="14">
        <f t="shared" si="4"/>
        <v>275.66101176482687</v>
      </c>
      <c r="K21" s="13">
        <f t="shared" si="5"/>
        <v>0.99035767971752753</v>
      </c>
      <c r="L21" s="13">
        <f t="shared" si="8"/>
        <v>0.98917866610529848</v>
      </c>
      <c r="M21" s="13">
        <f t="shared" si="9"/>
        <v>1.0011919116865624</v>
      </c>
      <c r="N21" s="13">
        <f t="shared" si="6"/>
        <v>7.0650265419581109</v>
      </c>
      <c r="O21" s="13">
        <f t="shared" si="7"/>
        <v>9.7361998396606683E-3</v>
      </c>
    </row>
    <row r="22" spans="1:24" x14ac:dyDescent="0.35">
      <c r="B22" s="11">
        <v>20</v>
      </c>
      <c r="C22" s="12">
        <v>273.56700000000001</v>
      </c>
      <c r="D22" s="14">
        <f t="shared" si="10"/>
        <v>273.46283333333338</v>
      </c>
      <c r="E22" s="13">
        <f t="shared" si="11"/>
        <v>1.0003809170898907</v>
      </c>
      <c r="G22" s="13">
        <f t="shared" si="13"/>
        <v>1.0027291778883463</v>
      </c>
      <c r="H22" s="14">
        <f t="shared" si="2"/>
        <v>272.82241908638429</v>
      </c>
      <c r="I22" s="14">
        <f t="shared" si="3"/>
        <v>275.70172505229601</v>
      </c>
      <c r="J22" s="14">
        <f t="shared" si="4"/>
        <v>276.45416410408768</v>
      </c>
      <c r="K22" s="13">
        <f t="shared" si="5"/>
        <v>0.98955644559218636</v>
      </c>
      <c r="L22" s="13">
        <f t="shared" si="8"/>
        <v>0.98985908570213343</v>
      </c>
      <c r="M22" s="13">
        <f t="shared" si="9"/>
        <v>0.99969425940083945</v>
      </c>
      <c r="N22" s="13">
        <f t="shared" si="6"/>
        <v>8.3357165639323814</v>
      </c>
      <c r="O22" s="13">
        <f t="shared" si="7"/>
        <v>1.0553773313622162E-2</v>
      </c>
    </row>
    <row r="23" spans="1:24" x14ac:dyDescent="0.35">
      <c r="B23" s="11">
        <v>21</v>
      </c>
      <c r="C23" s="12">
        <v>274.31</v>
      </c>
      <c r="D23" s="14">
        <f t="shared" si="10"/>
        <v>275.26820833333335</v>
      </c>
      <c r="E23" s="13">
        <f t="shared" si="11"/>
        <v>0.99651900108939206</v>
      </c>
      <c r="G23" s="13">
        <f t="shared" si="13"/>
        <v>1.0010332138569085</v>
      </c>
      <c r="H23" s="14">
        <f t="shared" si="2"/>
        <v>274.02687163905728</v>
      </c>
      <c r="I23" s="14">
        <f t="shared" si="3"/>
        <v>276.88903712273731</v>
      </c>
      <c r="J23" s="14">
        <f t="shared" si="4"/>
        <v>277.17512271271858</v>
      </c>
      <c r="K23" s="13">
        <f t="shared" si="5"/>
        <v>0.98966313179668663</v>
      </c>
      <c r="L23" s="13">
        <f t="shared" si="8"/>
        <v>0.99128010432785729</v>
      </c>
      <c r="M23" s="13">
        <f t="shared" si="9"/>
        <v>0.99836880360645686</v>
      </c>
      <c r="N23" s="13">
        <f t="shared" si="6"/>
        <v>8.2089281589358372</v>
      </c>
      <c r="O23" s="13">
        <f t="shared" si="7"/>
        <v>1.0444835087013136E-2</v>
      </c>
    </row>
    <row r="24" spans="1:24" x14ac:dyDescent="0.35">
      <c r="B24" s="11">
        <v>22</v>
      </c>
      <c r="C24" s="12">
        <v>276.589</v>
      </c>
      <c r="D24" s="14">
        <f t="shared" si="10"/>
        <v>277.12995833333338</v>
      </c>
      <c r="E24" s="13">
        <f t="shared" si="11"/>
        <v>0.99804799763769059</v>
      </c>
      <c r="G24" s="13">
        <f t="shared" si="13"/>
        <v>1.0000307216665694</v>
      </c>
      <c r="H24" s="14">
        <f t="shared" si="2"/>
        <v>276.58050298600767</v>
      </c>
      <c r="I24" s="14">
        <f t="shared" si="3"/>
        <v>278.0763491931786</v>
      </c>
      <c r="J24" s="14">
        <f t="shared" si="4"/>
        <v>278.08489216205936</v>
      </c>
      <c r="K24" s="13">
        <f t="shared" si="5"/>
        <v>0.99462073559469888</v>
      </c>
      <c r="L24" s="13">
        <f t="shared" si="8"/>
        <v>0.99447908026471288</v>
      </c>
      <c r="M24" s="13">
        <f t="shared" si="9"/>
        <v>1.0001424417393963</v>
      </c>
      <c r="N24" s="13">
        <f t="shared" si="6"/>
        <v>2.2376933605106348</v>
      </c>
      <c r="O24" s="13">
        <f t="shared" si="7"/>
        <v>5.4083573896986604E-3</v>
      </c>
    </row>
    <row r="25" spans="1:24" x14ac:dyDescent="0.35">
      <c r="B25" s="11">
        <v>23</v>
      </c>
      <c r="C25" s="12">
        <v>277.94799999999998</v>
      </c>
      <c r="D25" s="14">
        <f t="shared" si="10"/>
        <v>279.01145833333334</v>
      </c>
      <c r="E25" s="13">
        <f t="shared" si="11"/>
        <v>0.99618847792242693</v>
      </c>
      <c r="G25" s="13">
        <f t="shared" si="13"/>
        <v>0.99613217239276197</v>
      </c>
      <c r="H25" s="14">
        <f t="shared" si="2"/>
        <v>279.02722922034957</v>
      </c>
      <c r="I25" s="14">
        <f t="shared" si="3"/>
        <v>279.26366126361989</v>
      </c>
      <c r="J25" s="14">
        <f t="shared" si="4"/>
        <v>278.18351756488607</v>
      </c>
      <c r="K25" s="13">
        <f t="shared" si="5"/>
        <v>0.99915337340275323</v>
      </c>
      <c r="L25" s="13">
        <f t="shared" si="8"/>
        <v>0.99865559690361072</v>
      </c>
      <c r="M25" s="13">
        <f t="shared" si="9"/>
        <v>1.0004984466123115</v>
      </c>
      <c r="N25" s="13">
        <f t="shared" si="6"/>
        <v>5.5468523369875962E-2</v>
      </c>
      <c r="O25" s="13">
        <f t="shared" si="7"/>
        <v>8.4734398119826377E-4</v>
      </c>
    </row>
    <row r="26" spans="1:24" x14ac:dyDescent="0.35">
      <c r="B26" s="11">
        <v>24</v>
      </c>
      <c r="C26" s="12">
        <v>278.80200000000002</v>
      </c>
      <c r="D26" s="14">
        <f t="shared" si="10"/>
        <v>280.99962499999998</v>
      </c>
      <c r="E26" s="13">
        <f t="shared" si="11"/>
        <v>0.992179260025703</v>
      </c>
      <c r="G26" s="13">
        <f t="shared" si="13"/>
        <v>0.99194525928034172</v>
      </c>
      <c r="H26" s="14">
        <f t="shared" si="2"/>
        <v>281.06591305479037</v>
      </c>
      <c r="I26" s="14">
        <f t="shared" si="3"/>
        <v>280.45097333406119</v>
      </c>
      <c r="J26" s="14">
        <f t="shared" si="4"/>
        <v>278.19201345927951</v>
      </c>
      <c r="K26" s="13">
        <f t="shared" si="5"/>
        <v>1.0021926817133799</v>
      </c>
      <c r="L26" s="13">
        <f t="shared" si="8"/>
        <v>1.0017657429116649</v>
      </c>
      <c r="M26" s="13">
        <f t="shared" si="9"/>
        <v>1.0004261862663362</v>
      </c>
      <c r="N26" s="13">
        <f t="shared" si="6"/>
        <v>0.37208357986017798</v>
      </c>
      <c r="O26" s="13">
        <f t="shared" si="7"/>
        <v>2.187884379310453E-3</v>
      </c>
    </row>
    <row r="27" spans="1:24" x14ac:dyDescent="0.35">
      <c r="A27" s="11">
        <v>3</v>
      </c>
      <c r="B27" s="11">
        <v>25</v>
      </c>
      <c r="C27" s="12">
        <v>281.14800000000002</v>
      </c>
      <c r="D27" s="14">
        <f t="shared" si="10"/>
        <v>282.99495833333333</v>
      </c>
      <c r="E27" s="13">
        <f t="shared" si="11"/>
        <v>0.99347352919567633</v>
      </c>
      <c r="G27" s="13">
        <f t="shared" ref="G27:G38" si="14">G3</f>
        <v>0.9943303943269991</v>
      </c>
      <c r="H27" s="14">
        <f t="shared" si="2"/>
        <v>282.75108716785405</v>
      </c>
      <c r="I27" s="14">
        <f t="shared" si="3"/>
        <v>281.63828540450248</v>
      </c>
      <c r="J27" s="14">
        <f t="shared" si="4"/>
        <v>280.04150738383885</v>
      </c>
      <c r="K27" s="13">
        <f t="shared" si="5"/>
        <v>1.0039511736188613</v>
      </c>
      <c r="L27" s="13">
        <f t="shared" si="8"/>
        <v>1.0041493142086184</v>
      </c>
      <c r="M27" s="13">
        <f t="shared" si="9"/>
        <v>0.99980267816055501</v>
      </c>
      <c r="N27" s="13">
        <f t="shared" si="6"/>
        <v>1.2243259096192047</v>
      </c>
      <c r="O27" s="13">
        <f t="shared" si="7"/>
        <v>3.9356232879521691E-3</v>
      </c>
    </row>
    <row r="28" spans="1:24" x14ac:dyDescent="0.35">
      <c r="B28" s="11">
        <v>26</v>
      </c>
      <c r="C28" s="12">
        <v>283.71600000000001</v>
      </c>
      <c r="D28" s="14">
        <f t="shared" si="10"/>
        <v>284.90649999999999</v>
      </c>
      <c r="E28" s="13">
        <f t="shared" si="11"/>
        <v>0.99582143615537033</v>
      </c>
      <c r="G28" s="13">
        <f t="shared" si="14"/>
        <v>0.99686392163742144</v>
      </c>
      <c r="H28" s="14">
        <f t="shared" si="2"/>
        <v>284.60855473029443</v>
      </c>
      <c r="I28" s="14">
        <f t="shared" si="3"/>
        <v>282.82559747494378</v>
      </c>
      <c r="J28" s="14">
        <f t="shared" si="4"/>
        <v>281.93863423831925</v>
      </c>
      <c r="K28" s="13">
        <f t="shared" si="5"/>
        <v>1.0063040872936142</v>
      </c>
      <c r="L28" s="13">
        <f t="shared" si="8"/>
        <v>1.0073872465679587</v>
      </c>
      <c r="M28" s="13">
        <f t="shared" si="9"/>
        <v>0.99892478361421122</v>
      </c>
      <c r="N28" s="13">
        <f t="shared" si="6"/>
        <v>3.1590290507950121</v>
      </c>
      <c r="O28" s="13">
        <f t="shared" si="7"/>
        <v>6.2645947415047283E-3</v>
      </c>
    </row>
    <row r="29" spans="1:24" x14ac:dyDescent="0.35">
      <c r="B29" s="11">
        <v>27</v>
      </c>
      <c r="C29" s="12">
        <v>287.50400000000002</v>
      </c>
      <c r="D29" s="14">
        <f t="shared" si="10"/>
        <v>286.78574999999995</v>
      </c>
      <c r="E29" s="13">
        <f t="shared" si="11"/>
        <v>1.0025044828761542</v>
      </c>
      <c r="G29" s="13">
        <f t="shared" si="14"/>
        <v>1.0003809981380936</v>
      </c>
      <c r="H29" s="14">
        <f t="shared" si="2"/>
        <v>287.39450322937131</v>
      </c>
      <c r="I29" s="14">
        <f t="shared" si="3"/>
        <v>284.01290954538507</v>
      </c>
      <c r="J29" s="14">
        <f t="shared" si="4"/>
        <v>284.12111793511639</v>
      </c>
      <c r="K29" s="13">
        <f t="shared" si="5"/>
        <v>1.0119064787914012</v>
      </c>
      <c r="L29" s="13">
        <f t="shared" si="8"/>
        <v>1.0099469843209274</v>
      </c>
      <c r="M29" s="13">
        <f t="shared" si="9"/>
        <v>1.0019401953774745</v>
      </c>
      <c r="N29" s="13">
        <f t="shared" si="6"/>
        <v>11.443891064911341</v>
      </c>
      <c r="O29" s="13">
        <f t="shared" si="7"/>
        <v>1.1766382606445932E-2</v>
      </c>
    </row>
    <row r="30" spans="1:24" x14ac:dyDescent="0.35">
      <c r="B30" s="11">
        <v>28</v>
      </c>
      <c r="C30" s="12">
        <v>289.10899999999998</v>
      </c>
      <c r="D30" s="14">
        <f t="shared" si="10"/>
        <v>288.61579166666661</v>
      </c>
      <c r="E30" s="13">
        <f t="shared" si="11"/>
        <v>1.001708875077435</v>
      </c>
      <c r="G30" s="13">
        <f t="shared" si="14"/>
        <v>1.0020511409633679</v>
      </c>
      <c r="H30" s="14">
        <f t="shared" si="2"/>
        <v>288.51721053084356</v>
      </c>
      <c r="I30" s="14">
        <f t="shared" si="3"/>
        <v>285.20022161582642</v>
      </c>
      <c r="J30" s="14">
        <f t="shared" si="4"/>
        <v>285.78520747314423</v>
      </c>
      <c r="K30" s="13">
        <f t="shared" si="5"/>
        <v>1.0116303868777676</v>
      </c>
      <c r="L30" s="13">
        <f t="shared" si="8"/>
        <v>1.0134228108339942</v>
      </c>
      <c r="M30" s="13">
        <f t="shared" si="9"/>
        <v>0.9982313167445368</v>
      </c>
      <c r="N30" s="13">
        <f t="shared" si="6"/>
        <v>11.047596761582163</v>
      </c>
      <c r="O30" s="13">
        <f t="shared" si="7"/>
        <v>1.149667608706666E-2</v>
      </c>
    </row>
    <row r="31" spans="1:24" x14ac:dyDescent="0.35">
      <c r="B31" s="11">
        <v>29</v>
      </c>
      <c r="C31" s="12">
        <v>292.29599999999999</v>
      </c>
      <c r="D31" s="14">
        <f t="shared" si="10"/>
        <v>290.33187500000003</v>
      </c>
      <c r="E31" s="13">
        <f t="shared" si="11"/>
        <v>1.0067651028671929</v>
      </c>
      <c r="G31" s="13">
        <f t="shared" si="14"/>
        <v>1.00383528074101</v>
      </c>
      <c r="H31" s="14">
        <f t="shared" si="2"/>
        <v>291.17924584622415</v>
      </c>
      <c r="I31" s="14">
        <f t="shared" si="3"/>
        <v>286.38753368626772</v>
      </c>
      <c r="J31" s="14">
        <f t="shared" si="4"/>
        <v>287.48591027868002</v>
      </c>
      <c r="K31" s="13">
        <f t="shared" si="5"/>
        <v>1.0167315668328136</v>
      </c>
      <c r="L31" s="13">
        <f t="shared" si="8"/>
        <v>1.0173652405156342</v>
      </c>
      <c r="M31" s="13">
        <f t="shared" si="9"/>
        <v>0.99937714238939468</v>
      </c>
      <c r="N31" s="13">
        <f t="shared" si="6"/>
        <v>23.136963127148015</v>
      </c>
      <c r="O31" s="13">
        <f t="shared" si="7"/>
        <v>1.6456228348386462E-2</v>
      </c>
    </row>
    <row r="32" spans="1:24" x14ac:dyDescent="0.35">
      <c r="B32" s="11">
        <v>30</v>
      </c>
      <c r="C32" s="12">
        <v>296.31099999999998</v>
      </c>
      <c r="D32" s="14">
        <f t="shared" si="10"/>
        <v>291.905125</v>
      </c>
      <c r="E32" s="13">
        <f t="shared" si="11"/>
        <v>1.0150935171145077</v>
      </c>
      <c r="G32" s="13">
        <f t="shared" si="14"/>
        <v>1.0064908936711543</v>
      </c>
      <c r="H32" s="14">
        <f t="shared" si="2"/>
        <v>294.40008038146459</v>
      </c>
      <c r="I32" s="14">
        <f t="shared" si="3"/>
        <v>287.57484575670901</v>
      </c>
      <c r="J32" s="14">
        <f t="shared" si="4"/>
        <v>289.4414635030144</v>
      </c>
      <c r="K32" s="13">
        <f t="shared" si="5"/>
        <v>1.0237337678363212</v>
      </c>
      <c r="L32" s="13">
        <f t="shared" si="8"/>
        <v>1.0207395062018854</v>
      </c>
      <c r="M32" s="13">
        <f t="shared" si="9"/>
        <v>1.0029334238718528</v>
      </c>
      <c r="N32" s="13">
        <f t="shared" si="6"/>
        <v>47.190531683416836</v>
      </c>
      <c r="O32" s="13">
        <f t="shared" si="7"/>
        <v>2.3183535194392296E-2</v>
      </c>
    </row>
    <row r="33" spans="1:15" x14ac:dyDescent="0.35">
      <c r="B33" s="11">
        <v>31</v>
      </c>
      <c r="C33" s="12">
        <v>296.27600000000001</v>
      </c>
      <c r="D33" s="14">
        <f t="shared" si="10"/>
        <v>293.40583333333336</v>
      </c>
      <c r="E33" s="13">
        <f t="shared" si="11"/>
        <v>1.0097822413210371</v>
      </c>
      <c r="G33" s="13">
        <f t="shared" si="14"/>
        <v>1.0041768254370236</v>
      </c>
      <c r="H33" s="14">
        <f t="shared" si="2"/>
        <v>295.04365416027099</v>
      </c>
      <c r="I33" s="14">
        <f t="shared" si="3"/>
        <v>288.7621578271503</v>
      </c>
      <c r="J33" s="14">
        <f t="shared" si="4"/>
        <v>289.96826695321255</v>
      </c>
      <c r="K33" s="13">
        <f t="shared" si="5"/>
        <v>1.021753183936521</v>
      </c>
      <c r="L33" s="13">
        <f t="shared" si="8"/>
        <v>1.0213880304935288</v>
      </c>
      <c r="M33" s="13">
        <f t="shared" si="9"/>
        <v>1.000357507070859</v>
      </c>
      <c r="N33" s="13">
        <f t="shared" si="6"/>
        <v>39.787496189534636</v>
      </c>
      <c r="O33" s="13">
        <f t="shared" si="7"/>
        <v>2.1290057401839708E-2</v>
      </c>
    </row>
    <row r="34" spans="1:15" x14ac:dyDescent="0.35">
      <c r="B34" s="11">
        <v>32</v>
      </c>
      <c r="C34" s="12">
        <v>296.17099999999999</v>
      </c>
      <c r="D34" s="14">
        <f t="shared" si="10"/>
        <v>294.87025000000006</v>
      </c>
      <c r="E34" s="13">
        <f t="shared" si="11"/>
        <v>1.0044112622416128</v>
      </c>
      <c r="G34" s="13">
        <f t="shared" si="14"/>
        <v>1.0027291778883463</v>
      </c>
      <c r="H34" s="14">
        <f t="shared" si="2"/>
        <v>295.36489665505536</v>
      </c>
      <c r="I34" s="14">
        <f t="shared" si="3"/>
        <v>289.9494698975916</v>
      </c>
      <c r="J34" s="14">
        <f t="shared" si="4"/>
        <v>290.74079357957385</v>
      </c>
      <c r="K34" s="13">
        <f t="shared" si="5"/>
        <v>1.0186771397077443</v>
      </c>
      <c r="L34" s="13">
        <f t="shared" si="8"/>
        <v>1.019619211998424</v>
      </c>
      <c r="M34" s="13">
        <f t="shared" si="9"/>
        <v>0.99907605478634198</v>
      </c>
      <c r="N34" s="13">
        <f t="shared" si="6"/>
        <v>29.487141768437333</v>
      </c>
      <c r="O34" s="13">
        <f t="shared" si="7"/>
        <v>1.8334699955181791E-2</v>
      </c>
    </row>
    <row r="35" spans="1:15" x14ac:dyDescent="0.35">
      <c r="B35" s="11">
        <v>33</v>
      </c>
      <c r="C35" s="12">
        <v>296.80799999999999</v>
      </c>
      <c r="D35" s="14">
        <f t="shared" si="10"/>
        <v>296.18091666666669</v>
      </c>
      <c r="E35" s="13">
        <f t="shared" si="11"/>
        <v>1.0021172307128723</v>
      </c>
      <c r="G35" s="13">
        <f t="shared" si="14"/>
        <v>1.0010332138569085</v>
      </c>
      <c r="H35" s="14">
        <f t="shared" ref="H35:H66" si="15">C35/G35</f>
        <v>296.5016503862247</v>
      </c>
      <c r="I35" s="14">
        <f t="shared" ref="I35:I66" si="16">(Q$17+Q$18*B35)</f>
        <v>291.13678196803289</v>
      </c>
      <c r="J35" s="14">
        <f t="shared" ref="J35:J66" si="17">(Q$17+Q$18*B35)*G35</f>
        <v>291.43758852541799</v>
      </c>
      <c r="K35" s="13">
        <f t="shared" ref="K35:K66" si="18">C35/J35</f>
        <v>1.0184273123510066</v>
      </c>
      <c r="L35" s="13">
        <f t="shared" si="8"/>
        <v>1.018843555819684</v>
      </c>
      <c r="M35" s="13">
        <f t="shared" si="9"/>
        <v>0.99959145497235591</v>
      </c>
      <c r="N35" s="13">
        <f t="shared" ref="N35:N62" si="19">(C35-J35)^2</f>
        <v>28.841319406322004</v>
      </c>
      <c r="O35" s="13">
        <f t="shared" ref="O35:O62" si="20">ABS(C35-J35)/C35</f>
        <v>1.8093890577686584E-2</v>
      </c>
    </row>
    <row r="36" spans="1:15" x14ac:dyDescent="0.35">
      <c r="B36" s="11">
        <v>34</v>
      </c>
      <c r="C36" s="12">
        <v>298.012</v>
      </c>
      <c r="D36" s="14">
        <f t="shared" si="10"/>
        <v>297.37200000000001</v>
      </c>
      <c r="E36" s="13">
        <f t="shared" si="11"/>
        <v>1.0021521864869591</v>
      </c>
      <c r="G36" s="13">
        <f t="shared" si="14"/>
        <v>1.0000307216665694</v>
      </c>
      <c r="H36" s="14">
        <f t="shared" si="15"/>
        <v>298.00284485596359</v>
      </c>
      <c r="I36" s="14">
        <f t="shared" si="16"/>
        <v>292.32409403847419</v>
      </c>
      <c r="J36" s="14">
        <f t="shared" si="17"/>
        <v>292.33307472182145</v>
      </c>
      <c r="K36" s="13">
        <f t="shared" si="18"/>
        <v>1.0194262154003015</v>
      </c>
      <c r="L36" s="13">
        <f t="shared" ref="L36:L61" si="21">AVERAGE(K35:K37)</f>
        <v>1.0187000137035553</v>
      </c>
      <c r="M36" s="13">
        <f t="shared" ref="M36:M67" si="22">K36/L36</f>
        <v>1.0007128709992905</v>
      </c>
      <c r="N36" s="13">
        <f t="shared" si="19"/>
        <v>32.250192315135358</v>
      </c>
      <c r="O36" s="13">
        <f t="shared" si="20"/>
        <v>1.9056028878630907E-2</v>
      </c>
    </row>
    <row r="37" spans="1:15" x14ac:dyDescent="0.35">
      <c r="B37" s="11">
        <v>35</v>
      </c>
      <c r="C37" s="12">
        <v>297.71100000000001</v>
      </c>
      <c r="D37" s="14">
        <f t="shared" si="10"/>
        <v>298.45887499999998</v>
      </c>
      <c r="E37" s="13">
        <f t="shared" si="11"/>
        <v>0.99749421088583823</v>
      </c>
      <c r="G37" s="13">
        <f t="shared" si="14"/>
        <v>0.99613217239276197</v>
      </c>
      <c r="H37" s="14">
        <f t="shared" si="15"/>
        <v>298.86696590160568</v>
      </c>
      <c r="I37" s="14">
        <f t="shared" si="16"/>
        <v>293.51140610891548</v>
      </c>
      <c r="J37" s="14">
        <f t="shared" si="17"/>
        <v>292.37615458932817</v>
      </c>
      <c r="K37" s="13">
        <f t="shared" si="18"/>
        <v>1.0182465133593579</v>
      </c>
      <c r="L37" s="13">
        <f t="shared" si="21"/>
        <v>1.0176569275925993</v>
      </c>
      <c r="M37" s="13">
        <f t="shared" si="22"/>
        <v>1.0005793561177374</v>
      </c>
      <c r="N37" s="13">
        <f t="shared" si="19"/>
        <v>28.460575555766461</v>
      </c>
      <c r="O37" s="13">
        <f t="shared" si="20"/>
        <v>1.7919544157494503E-2</v>
      </c>
    </row>
    <row r="38" spans="1:15" x14ac:dyDescent="0.35">
      <c r="B38" s="11">
        <v>36</v>
      </c>
      <c r="C38" s="12">
        <v>296.79700000000003</v>
      </c>
      <c r="D38" s="14">
        <f t="shared" si="10"/>
        <v>299.31841666666668</v>
      </c>
      <c r="E38" s="13">
        <f t="shared" si="11"/>
        <v>0.99157613923411003</v>
      </c>
      <c r="G38" s="13">
        <f t="shared" si="14"/>
        <v>0.99194525928034172</v>
      </c>
      <c r="H38" s="14">
        <f t="shared" si="15"/>
        <v>299.20703508914073</v>
      </c>
      <c r="I38" s="14">
        <f t="shared" si="16"/>
        <v>294.69871817935677</v>
      </c>
      <c r="J38" s="14">
        <f t="shared" si="17"/>
        <v>292.32499641400642</v>
      </c>
      <c r="K38" s="13">
        <f t="shared" si="18"/>
        <v>1.0152980540181384</v>
      </c>
      <c r="L38" s="13">
        <f t="shared" si="21"/>
        <v>1.0168028503257787</v>
      </c>
      <c r="M38" s="13">
        <f t="shared" si="22"/>
        <v>0.99852007072250226</v>
      </c>
      <c r="N38" s="13">
        <f t="shared" si="19"/>
        <v>19.998816073139661</v>
      </c>
      <c r="O38" s="13">
        <f t="shared" si="20"/>
        <v>1.5067549826964573E-2</v>
      </c>
    </row>
    <row r="39" spans="1:15" x14ac:dyDescent="0.35">
      <c r="A39" s="11">
        <v>4</v>
      </c>
      <c r="B39" s="11">
        <v>37</v>
      </c>
      <c r="C39" s="12">
        <v>299.17</v>
      </c>
      <c r="D39" s="14">
        <f t="shared" si="10"/>
        <v>300.07729166666667</v>
      </c>
      <c r="E39" s="13">
        <f t="shared" si="11"/>
        <v>0.99697647342247242</v>
      </c>
      <c r="G39" s="13">
        <f t="shared" ref="G39:G50" si="23">G3</f>
        <v>0.9943303943269991</v>
      </c>
      <c r="H39" s="14">
        <f t="shared" si="15"/>
        <v>300.87584741135237</v>
      </c>
      <c r="I39" s="14">
        <f t="shared" si="16"/>
        <v>295.88603024979807</v>
      </c>
      <c r="J39" s="14">
        <f t="shared" si="17"/>
        <v>294.20847313413208</v>
      </c>
      <c r="K39" s="13">
        <f t="shared" si="18"/>
        <v>1.0168639835998399</v>
      </c>
      <c r="L39" s="13">
        <f t="shared" si="21"/>
        <v>1.0160090293524282</v>
      </c>
      <c r="M39" s="13">
        <f t="shared" si="22"/>
        <v>1.0008414829226042</v>
      </c>
      <c r="N39" s="13">
        <f t="shared" si="19"/>
        <v>24.616748840729326</v>
      </c>
      <c r="O39" s="13">
        <f t="shared" si="20"/>
        <v>1.6584306133194966E-2</v>
      </c>
    </row>
    <row r="40" spans="1:15" x14ac:dyDescent="0.35">
      <c r="B40" s="11">
        <v>38</v>
      </c>
      <c r="C40" s="12">
        <v>300.83999999999997</v>
      </c>
      <c r="D40" s="14">
        <f t="shared" si="10"/>
        <v>300.92187499999994</v>
      </c>
      <c r="E40" s="13">
        <f t="shared" si="11"/>
        <v>0.99972791941429995</v>
      </c>
      <c r="G40" s="13">
        <f t="shared" si="23"/>
        <v>0.99686392163742144</v>
      </c>
      <c r="H40" s="14">
        <f t="shared" si="15"/>
        <v>301.78642588032318</v>
      </c>
      <c r="I40" s="14">
        <f t="shared" si="16"/>
        <v>297.07334232023936</v>
      </c>
      <c r="J40" s="14">
        <f t="shared" si="17"/>
        <v>296.14169703928997</v>
      </c>
      <c r="K40" s="13">
        <f t="shared" si="18"/>
        <v>1.0158650504393061</v>
      </c>
      <c r="L40" s="13">
        <f t="shared" si="21"/>
        <v>1.014776978199502</v>
      </c>
      <c r="M40" s="13">
        <f t="shared" si="22"/>
        <v>1.0010722279507509</v>
      </c>
      <c r="N40" s="13">
        <f t="shared" si="19"/>
        <v>22.07405071061644</v>
      </c>
      <c r="O40" s="13">
        <f t="shared" si="20"/>
        <v>1.5617281480886883E-2</v>
      </c>
    </row>
    <row r="41" spans="1:15" x14ac:dyDescent="0.35">
      <c r="B41" s="11">
        <v>39</v>
      </c>
      <c r="C41" s="12">
        <v>301.83600000000001</v>
      </c>
      <c r="D41" s="14">
        <f t="shared" si="10"/>
        <v>301.83170833333327</v>
      </c>
      <c r="E41" s="13">
        <f t="shared" si="11"/>
        <v>1.0000142187402723</v>
      </c>
      <c r="G41" s="13">
        <f t="shared" si="23"/>
        <v>1.0003809981380936</v>
      </c>
      <c r="H41" s="14">
        <f t="shared" si="15"/>
        <v>301.72104484369095</v>
      </c>
      <c r="I41" s="14">
        <f t="shared" si="16"/>
        <v>298.26065439068071</v>
      </c>
      <c r="J41" s="14">
        <f t="shared" si="17"/>
        <v>298.37429114467011</v>
      </c>
      <c r="K41" s="13">
        <f t="shared" si="18"/>
        <v>1.0116019005593597</v>
      </c>
      <c r="L41" s="13">
        <f t="shared" si="21"/>
        <v>1.0128224720868635</v>
      </c>
      <c r="M41" s="13">
        <f t="shared" si="22"/>
        <v>0.99879488107625725</v>
      </c>
      <c r="N41" s="13">
        <f t="shared" si="19"/>
        <v>11.983428199069465</v>
      </c>
      <c r="O41" s="13">
        <f t="shared" si="20"/>
        <v>1.1468840215646585E-2</v>
      </c>
    </row>
    <row r="42" spans="1:15" x14ac:dyDescent="0.35">
      <c r="B42" s="11">
        <v>40</v>
      </c>
      <c r="C42" s="12">
        <v>303.363</v>
      </c>
      <c r="D42" s="14">
        <f t="shared" si="10"/>
        <v>302.69170833333328</v>
      </c>
      <c r="E42" s="13">
        <f t="shared" si="11"/>
        <v>1.002217740520092</v>
      </c>
      <c r="G42" s="13">
        <f t="shared" si="23"/>
        <v>1.0020511409633679</v>
      </c>
      <c r="H42" s="14">
        <f t="shared" si="15"/>
        <v>302.74203341393138</v>
      </c>
      <c r="I42" s="14">
        <f t="shared" si="16"/>
        <v>299.44796646112201</v>
      </c>
      <c r="J42" s="14">
        <f t="shared" si="17"/>
        <v>300.06217645152765</v>
      </c>
      <c r="K42" s="13">
        <f t="shared" si="18"/>
        <v>1.011000465261924</v>
      </c>
      <c r="L42" s="13">
        <f t="shared" si="21"/>
        <v>1.010117280157208</v>
      </c>
      <c r="M42" s="13">
        <f t="shared" si="22"/>
        <v>1.0008743391703769</v>
      </c>
      <c r="N42" s="13">
        <f t="shared" si="19"/>
        <v>10.895436098149606</v>
      </c>
      <c r="O42" s="13">
        <f t="shared" si="20"/>
        <v>1.0880771710697585E-2</v>
      </c>
    </row>
    <row r="43" spans="1:15" x14ac:dyDescent="0.35">
      <c r="B43" s="11">
        <v>41</v>
      </c>
      <c r="C43" s="12">
        <v>304.12700000000001</v>
      </c>
      <c r="D43" s="14">
        <f t="shared" si="10"/>
        <v>303.48333333333329</v>
      </c>
      <c r="E43" s="13">
        <f t="shared" si="11"/>
        <v>1.00212092921083</v>
      </c>
      <c r="G43" s="13">
        <f t="shared" si="23"/>
        <v>1.00383528074101</v>
      </c>
      <c r="H43" s="14">
        <f t="shared" si="15"/>
        <v>302.96504400154163</v>
      </c>
      <c r="I43" s="14">
        <f t="shared" si="16"/>
        <v>300.6352785315633</v>
      </c>
      <c r="J43" s="14">
        <f t="shared" si="17"/>
        <v>301.78829922538358</v>
      </c>
      <c r="K43" s="13">
        <f t="shared" si="18"/>
        <v>1.0077494746503404</v>
      </c>
      <c r="L43" s="13">
        <f t="shared" si="21"/>
        <v>1.007706410803759</v>
      </c>
      <c r="M43" s="13">
        <f t="shared" si="22"/>
        <v>1.000042734516839</v>
      </c>
      <c r="N43" s="13">
        <f t="shared" si="19"/>
        <v>5.4695213131914766</v>
      </c>
      <c r="O43" s="13">
        <f t="shared" si="20"/>
        <v>7.6898821039119419E-3</v>
      </c>
    </row>
    <row r="44" spans="1:15" x14ac:dyDescent="0.35">
      <c r="B44" s="11">
        <v>42</v>
      </c>
      <c r="C44" s="12">
        <v>305.10899999999998</v>
      </c>
      <c r="D44" s="14">
        <f t="shared" si="10"/>
        <v>304.2870416666666</v>
      </c>
      <c r="E44" s="13">
        <f t="shared" si="11"/>
        <v>1.0027012597343328</v>
      </c>
      <c r="G44" s="13">
        <f t="shared" si="23"/>
        <v>1.0064908936711543</v>
      </c>
      <c r="H44" s="14">
        <f t="shared" si="15"/>
        <v>303.14134178315447</v>
      </c>
      <c r="I44" s="14">
        <f t="shared" si="16"/>
        <v>301.8225906020046</v>
      </c>
      <c r="J44" s="14">
        <f t="shared" si="17"/>
        <v>303.78168894515454</v>
      </c>
      <c r="K44" s="13">
        <f t="shared" si="18"/>
        <v>1.0043692924990126</v>
      </c>
      <c r="L44" s="13">
        <f t="shared" si="21"/>
        <v>1.0055902427122272</v>
      </c>
      <c r="M44" s="13">
        <f t="shared" si="22"/>
        <v>0.99878583725124315</v>
      </c>
      <c r="N44" s="13">
        <f t="shared" si="19"/>
        <v>1.7617546363149101</v>
      </c>
      <c r="O44" s="13">
        <f t="shared" si="20"/>
        <v>4.3502848321270047E-3</v>
      </c>
    </row>
    <row r="45" spans="1:15" x14ac:dyDescent="0.35">
      <c r="B45" s="11">
        <v>43</v>
      </c>
      <c r="C45" s="12">
        <v>305.69099999999997</v>
      </c>
      <c r="D45" s="14">
        <f t="shared" si="10"/>
        <v>305.08687500000002</v>
      </c>
      <c r="E45" s="13">
        <f t="shared" si="11"/>
        <v>1.0019801736800378</v>
      </c>
      <c r="G45" s="13">
        <f t="shared" si="23"/>
        <v>1.0041768254370236</v>
      </c>
      <c r="H45" s="14">
        <f t="shared" si="15"/>
        <v>304.41949291845236</v>
      </c>
      <c r="I45" s="14">
        <f t="shared" si="16"/>
        <v>303.00990267244589</v>
      </c>
      <c r="J45" s="14">
        <f t="shared" si="17"/>
        <v>304.27552214159817</v>
      </c>
      <c r="K45" s="13">
        <f t="shared" si="18"/>
        <v>1.0046519609873288</v>
      </c>
      <c r="L45" s="13">
        <f t="shared" si="21"/>
        <v>1.0051911252230237</v>
      </c>
      <c r="M45" s="13">
        <f t="shared" si="22"/>
        <v>0.99946362017912238</v>
      </c>
      <c r="N45" s="13">
        <f t="shared" si="19"/>
        <v>2.0035775676257472</v>
      </c>
      <c r="O45" s="13">
        <f t="shared" si="20"/>
        <v>4.630420452030974E-3</v>
      </c>
    </row>
    <row r="46" spans="1:15" x14ac:dyDescent="0.35">
      <c r="B46" s="11">
        <v>44</v>
      </c>
      <c r="C46" s="12">
        <v>307.02600000000001</v>
      </c>
      <c r="D46" s="14">
        <f t="shared" si="10"/>
        <v>305.86741666666666</v>
      </c>
      <c r="E46" s="13">
        <f t="shared" si="11"/>
        <v>1.0037878612438016</v>
      </c>
      <c r="G46" s="13">
        <f t="shared" si="23"/>
        <v>1.0027291778883463</v>
      </c>
      <c r="H46" s="14">
        <f t="shared" si="15"/>
        <v>306.19035206152876</v>
      </c>
      <c r="I46" s="14">
        <f t="shared" si="16"/>
        <v>304.19721474288718</v>
      </c>
      <c r="J46" s="14">
        <f t="shared" si="17"/>
        <v>305.02742305506001</v>
      </c>
      <c r="K46" s="13">
        <f t="shared" si="18"/>
        <v>1.0065521221827298</v>
      </c>
      <c r="L46" s="13">
        <f t="shared" si="21"/>
        <v>1.006012467032668</v>
      </c>
      <c r="M46" s="13">
        <f t="shared" si="22"/>
        <v>1.0005364298830746</v>
      </c>
      <c r="N46" s="13">
        <f t="shared" si="19"/>
        <v>3.9943098048456966</v>
      </c>
      <c r="O46" s="13">
        <f t="shared" si="20"/>
        <v>6.5094713312227569E-3</v>
      </c>
    </row>
    <row r="47" spans="1:15" x14ac:dyDescent="0.35">
      <c r="B47" s="11">
        <v>45</v>
      </c>
      <c r="C47" s="12">
        <v>307.78899999999999</v>
      </c>
      <c r="D47" s="14">
        <f t="shared" si="10"/>
        <v>306.7</v>
      </c>
      <c r="E47" s="13">
        <f t="shared" si="11"/>
        <v>1.0035507010107596</v>
      </c>
      <c r="G47" s="13">
        <f t="shared" si="23"/>
        <v>1.0010332138569085</v>
      </c>
      <c r="H47" s="14">
        <f t="shared" si="15"/>
        <v>307.47131637531913</v>
      </c>
      <c r="I47" s="14">
        <f t="shared" si="16"/>
        <v>305.38452681332848</v>
      </c>
      <c r="J47" s="14">
        <f t="shared" si="17"/>
        <v>305.70005433811747</v>
      </c>
      <c r="K47" s="13">
        <f t="shared" si="18"/>
        <v>1.0068333179279454</v>
      </c>
      <c r="L47" s="13">
        <f t="shared" si="21"/>
        <v>1.0056466463115026</v>
      </c>
      <c r="M47" s="13">
        <f t="shared" si="22"/>
        <v>1.0011800085256539</v>
      </c>
      <c r="N47" s="13">
        <f t="shared" si="19"/>
        <v>4.363693978297797</v>
      </c>
      <c r="O47" s="13">
        <f t="shared" si="20"/>
        <v>6.7869406050330566E-3</v>
      </c>
    </row>
    <row r="48" spans="1:15" x14ac:dyDescent="0.35">
      <c r="B48" s="11">
        <v>46</v>
      </c>
      <c r="C48" s="12">
        <v>307.67099999999999</v>
      </c>
      <c r="D48" s="14">
        <f t="shared" si="10"/>
        <v>307.56170833333334</v>
      </c>
      <c r="E48" s="13">
        <f t="shared" si="11"/>
        <v>1.0003553487437005</v>
      </c>
      <c r="G48" s="13">
        <f t="shared" si="23"/>
        <v>1.0000307216665694</v>
      </c>
      <c r="H48" s="14">
        <f t="shared" si="15"/>
        <v>307.6615481245023</v>
      </c>
      <c r="I48" s="14">
        <f t="shared" si="16"/>
        <v>306.57183888376977</v>
      </c>
      <c r="J48" s="14">
        <f t="shared" si="17"/>
        <v>306.58125728158353</v>
      </c>
      <c r="K48" s="13">
        <f t="shared" si="18"/>
        <v>1.0035544988238325</v>
      </c>
      <c r="L48" s="13">
        <f t="shared" si="21"/>
        <v>1.0039869124707983</v>
      </c>
      <c r="M48" s="13">
        <f t="shared" si="22"/>
        <v>0.99956930350227213</v>
      </c>
      <c r="N48" s="13">
        <f t="shared" si="19"/>
        <v>1.1875391923416958</v>
      </c>
      <c r="O48" s="13">
        <f t="shared" si="20"/>
        <v>3.5419091120595047E-3</v>
      </c>
    </row>
    <row r="49" spans="1:15" x14ac:dyDescent="0.35">
      <c r="B49" s="11">
        <v>47</v>
      </c>
      <c r="C49" s="12">
        <v>307.05099999999999</v>
      </c>
      <c r="D49" s="14">
        <f t="shared" si="10"/>
        <v>308.40033333333332</v>
      </c>
      <c r="E49" s="13">
        <f t="shared" si="11"/>
        <v>0.99562473451714817</v>
      </c>
      <c r="G49" s="13">
        <f t="shared" si="23"/>
        <v>0.99613217239276197</v>
      </c>
      <c r="H49" s="14">
        <f t="shared" si="15"/>
        <v>308.24323168124096</v>
      </c>
      <c r="I49" s="14">
        <f t="shared" si="16"/>
        <v>307.75915095421112</v>
      </c>
      <c r="J49" s="14">
        <f t="shared" si="17"/>
        <v>306.56879161377032</v>
      </c>
      <c r="K49" s="13">
        <f t="shared" si="18"/>
        <v>1.001572920660617</v>
      </c>
      <c r="L49" s="13">
        <f t="shared" si="21"/>
        <v>1.0020224189187668</v>
      </c>
      <c r="M49" s="13">
        <f t="shared" si="22"/>
        <v>0.99955140898081418</v>
      </c>
      <c r="N49" s="13">
        <f t="shared" si="19"/>
        <v>0.23252492775022474</v>
      </c>
      <c r="O49" s="13">
        <f t="shared" si="20"/>
        <v>1.5704504666315116E-3</v>
      </c>
    </row>
    <row r="50" spans="1:15" x14ac:dyDescent="0.35">
      <c r="B50" s="11">
        <v>48</v>
      </c>
      <c r="C50" s="12">
        <v>306.74599999999998</v>
      </c>
      <c r="D50" s="14">
        <f t="shared" si="10"/>
        <v>309.19233333333335</v>
      </c>
      <c r="E50" s="13">
        <f t="shared" si="11"/>
        <v>0.99208798838263546</v>
      </c>
      <c r="G50" s="13">
        <f t="shared" si="23"/>
        <v>0.99194525928034172</v>
      </c>
      <c r="H50" s="14">
        <f t="shared" si="15"/>
        <v>309.23682242560926</v>
      </c>
      <c r="I50" s="14">
        <f t="shared" si="16"/>
        <v>308.94646302465242</v>
      </c>
      <c r="J50" s="14">
        <f t="shared" si="17"/>
        <v>306.45797936873333</v>
      </c>
      <c r="K50" s="13">
        <f t="shared" si="18"/>
        <v>1.0009398372718503</v>
      </c>
      <c r="L50" s="13">
        <f t="shared" si="21"/>
        <v>1.0008825107783801</v>
      </c>
      <c r="M50" s="13">
        <f t="shared" si="22"/>
        <v>1.0000572759468298</v>
      </c>
      <c r="N50" s="13">
        <f t="shared" si="19"/>
        <v>8.2955884035238028E-2</v>
      </c>
      <c r="O50" s="13">
        <f t="shared" si="20"/>
        <v>9.3895480712591968E-4</v>
      </c>
    </row>
    <row r="51" spans="1:15" x14ac:dyDescent="0.35">
      <c r="A51" s="11">
        <v>5</v>
      </c>
      <c r="B51" s="11">
        <v>49</v>
      </c>
      <c r="C51" s="12">
        <v>308.41699999999997</v>
      </c>
      <c r="D51" s="14">
        <f t="shared" si="10"/>
        <v>309.93879166666665</v>
      </c>
      <c r="E51" s="13">
        <f t="shared" si="11"/>
        <v>0.99509002516760359</v>
      </c>
      <c r="G51" s="13">
        <f t="shared" ref="G51:G62" si="24">G3</f>
        <v>0.9943303943269991</v>
      </c>
      <c r="H51" s="14">
        <f t="shared" si="15"/>
        <v>310.17557318938077</v>
      </c>
      <c r="I51" s="14">
        <f t="shared" si="16"/>
        <v>310.13377509509371</v>
      </c>
      <c r="J51" s="14">
        <f t="shared" si="17"/>
        <v>308.37543888442536</v>
      </c>
      <c r="K51" s="13">
        <f t="shared" si="18"/>
        <v>1.0001347744026727</v>
      </c>
      <c r="L51" s="13">
        <f t="shared" si="21"/>
        <v>1.0003380544290514</v>
      </c>
      <c r="M51" s="13">
        <f t="shared" si="22"/>
        <v>0.99979678867011135</v>
      </c>
      <c r="N51" s="13">
        <f t="shared" si="19"/>
        <v>1.7273263278060214E-3</v>
      </c>
      <c r="O51" s="13">
        <f t="shared" si="20"/>
        <v>1.3475624098090955E-4</v>
      </c>
    </row>
    <row r="52" spans="1:15" x14ac:dyDescent="0.35">
      <c r="B52" s="11">
        <v>50</v>
      </c>
      <c r="C52" s="12">
        <v>310.32600000000002</v>
      </c>
      <c r="D52" s="14">
        <f t="shared" si="10"/>
        <v>310.63125000000002</v>
      </c>
      <c r="E52" s="13">
        <f t="shared" si="11"/>
        <v>0.99901732359509865</v>
      </c>
      <c r="G52" s="13">
        <f t="shared" si="24"/>
        <v>0.99686392163742144</v>
      </c>
      <c r="H52" s="14">
        <f t="shared" si="15"/>
        <v>311.30226830786194</v>
      </c>
      <c r="I52" s="14">
        <f t="shared" si="16"/>
        <v>311.321087165535</v>
      </c>
      <c r="J52" s="14">
        <f t="shared" si="17"/>
        <v>310.34475984026074</v>
      </c>
      <c r="K52" s="13">
        <f t="shared" si="18"/>
        <v>0.99993955161263115</v>
      </c>
      <c r="L52" s="13">
        <f t="shared" si="21"/>
        <v>0.99970974185832107</v>
      </c>
      <c r="M52" s="13">
        <f t="shared" si="22"/>
        <v>1.0002298764778295</v>
      </c>
      <c r="N52" s="13">
        <f t="shared" si="19"/>
        <v>3.5193160660749258E-4</v>
      </c>
      <c r="O52" s="13">
        <f t="shared" si="20"/>
        <v>6.0452041597267531E-5</v>
      </c>
    </row>
    <row r="53" spans="1:15" x14ac:dyDescent="0.35">
      <c r="B53" s="11">
        <v>51</v>
      </c>
      <c r="C53" s="12">
        <v>312.33199999999999</v>
      </c>
      <c r="D53" s="14">
        <f t="shared" si="10"/>
        <v>311.26799999999997</v>
      </c>
      <c r="E53" s="13">
        <f t="shared" si="11"/>
        <v>1.0034182762121389</v>
      </c>
      <c r="G53" s="13">
        <f t="shared" si="24"/>
        <v>1.0003809981380936</v>
      </c>
      <c r="H53" s="14">
        <f t="shared" si="15"/>
        <v>312.21304741024818</v>
      </c>
      <c r="I53" s="14">
        <f t="shared" si="16"/>
        <v>312.5083992359763</v>
      </c>
      <c r="J53" s="14">
        <f t="shared" si="17"/>
        <v>312.62746435422383</v>
      </c>
      <c r="K53" s="13">
        <f t="shared" si="18"/>
        <v>0.99905489955965909</v>
      </c>
      <c r="L53" s="13">
        <f t="shared" si="21"/>
        <v>0.99882586604818491</v>
      </c>
      <c r="M53" s="13">
        <f t="shared" si="22"/>
        <v>1.0002293027436107</v>
      </c>
      <c r="N53" s="13">
        <f t="shared" si="19"/>
        <v>8.7299184616909997E-2</v>
      </c>
      <c r="O53" s="13">
        <f t="shared" si="20"/>
        <v>9.4599450015956949E-4</v>
      </c>
    </row>
    <row r="54" spans="1:15" x14ac:dyDescent="0.35">
      <c r="B54" s="11">
        <v>52</v>
      </c>
      <c r="C54" s="12">
        <v>313.548</v>
      </c>
      <c r="D54" s="14">
        <f t="shared" si="10"/>
        <v>311.91404166666666</v>
      </c>
      <c r="E54" s="13">
        <f t="shared" si="11"/>
        <v>1.0052384891831176</v>
      </c>
      <c r="G54" s="13">
        <f t="shared" si="24"/>
        <v>1.0020511409633679</v>
      </c>
      <c r="H54" s="14">
        <f t="shared" si="15"/>
        <v>312.90618530562847</v>
      </c>
      <c r="I54" s="14">
        <f t="shared" si="16"/>
        <v>313.69571130641759</v>
      </c>
      <c r="J54" s="14">
        <f t="shared" si="17"/>
        <v>314.33914542991101</v>
      </c>
      <c r="K54" s="13">
        <f t="shared" si="18"/>
        <v>0.9974831469722647</v>
      </c>
      <c r="L54" s="13">
        <f t="shared" si="21"/>
        <v>0.99671404490037296</v>
      </c>
      <c r="M54" s="13">
        <f t="shared" si="22"/>
        <v>1.0007716376385252</v>
      </c>
      <c r="N54" s="13">
        <f t="shared" si="19"/>
        <v>0.62591109126907984</v>
      </c>
      <c r="O54" s="13">
        <f t="shared" si="20"/>
        <v>2.5232035602555649E-3</v>
      </c>
    </row>
    <row r="55" spans="1:15" x14ac:dyDescent="0.35">
      <c r="B55" s="11">
        <v>53</v>
      </c>
      <c r="C55" s="12">
        <v>314.06900000000002</v>
      </c>
      <c r="D55" s="14">
        <f t="shared" si="10"/>
        <v>312.59883333333329</v>
      </c>
      <c r="E55" s="13">
        <f t="shared" si="11"/>
        <v>1.0047030459166784</v>
      </c>
      <c r="G55" s="13">
        <f t="shared" si="24"/>
        <v>1.00383528074101</v>
      </c>
      <c r="H55" s="14">
        <f t="shared" si="15"/>
        <v>312.86905932232321</v>
      </c>
      <c r="I55" s="14">
        <f t="shared" si="16"/>
        <v>314.88302337685889</v>
      </c>
      <c r="J55" s="14">
        <f t="shared" si="17"/>
        <v>316.09068817208714</v>
      </c>
      <c r="K55" s="13">
        <f t="shared" si="18"/>
        <v>0.9936040881691951</v>
      </c>
      <c r="L55" s="13">
        <f t="shared" si="21"/>
        <v>0.99289343707569888</v>
      </c>
      <c r="M55" s="13">
        <f t="shared" si="22"/>
        <v>1.0007157375272711</v>
      </c>
      <c r="N55" s="13">
        <f t="shared" si="19"/>
        <v>4.0872230651569774</v>
      </c>
      <c r="O55" s="13">
        <f t="shared" si="20"/>
        <v>6.4370828451299688E-3</v>
      </c>
    </row>
    <row r="56" spans="1:15" x14ac:dyDescent="0.35">
      <c r="B56" s="11">
        <v>54</v>
      </c>
      <c r="C56" s="12">
        <v>314.17500000000001</v>
      </c>
      <c r="D56" s="14">
        <f t="shared" si="10"/>
        <v>313.31970833333327</v>
      </c>
      <c r="E56" s="13">
        <f t="shared" si="11"/>
        <v>1.0027297729568829</v>
      </c>
      <c r="G56" s="13">
        <f t="shared" si="24"/>
        <v>1.0064908936711543</v>
      </c>
      <c r="H56" s="14">
        <f t="shared" si="15"/>
        <v>312.14887484381836</v>
      </c>
      <c r="I56" s="14">
        <f t="shared" si="16"/>
        <v>316.07033544730018</v>
      </c>
      <c r="J56" s="14">
        <f t="shared" si="17"/>
        <v>318.12191438729468</v>
      </c>
      <c r="K56" s="13">
        <f t="shared" si="18"/>
        <v>0.98759307608563696</v>
      </c>
      <c r="L56" s="13">
        <f t="shared" si="21"/>
        <v>0.98950242796399213</v>
      </c>
      <c r="M56" s="13">
        <f t="shared" si="22"/>
        <v>0.9980703919218431</v>
      </c>
      <c r="N56" s="13">
        <f t="shared" si="19"/>
        <v>15.578133180633651</v>
      </c>
      <c r="O56" s="13">
        <f t="shared" si="20"/>
        <v>1.2562789487688927E-2</v>
      </c>
    </row>
    <row r="57" spans="1:15" x14ac:dyDescent="0.35">
      <c r="B57" s="11">
        <v>55</v>
      </c>
      <c r="C57" s="12">
        <v>314.54000000000002</v>
      </c>
      <c r="G57" s="13">
        <f t="shared" si="24"/>
        <v>1.0041768254370236</v>
      </c>
      <c r="H57" s="14">
        <f t="shared" si="15"/>
        <v>313.23168592654025</v>
      </c>
      <c r="I57" s="14">
        <f t="shared" si="16"/>
        <v>317.25764751774147</v>
      </c>
      <c r="J57" s="14">
        <f t="shared" si="17"/>
        <v>318.58277732998386</v>
      </c>
      <c r="K57" s="13">
        <f t="shared" si="18"/>
        <v>0.98731011963714421</v>
      </c>
      <c r="L57" s="13">
        <f t="shared" si="21"/>
        <v>0.98691798381503837</v>
      </c>
      <c r="M57" s="13">
        <f t="shared" si="22"/>
        <v>1.0003973337486363</v>
      </c>
      <c r="N57" s="13">
        <f t="shared" si="19"/>
        <v>16.344048539831224</v>
      </c>
      <c r="O57" s="13">
        <f t="shared" si="20"/>
        <v>1.2852983181737887E-2</v>
      </c>
    </row>
    <row r="58" spans="1:15" x14ac:dyDescent="0.35">
      <c r="B58" s="11">
        <v>56</v>
      </c>
      <c r="C58" s="12">
        <v>314.79599999999999</v>
      </c>
      <c r="G58" s="13">
        <f t="shared" si="24"/>
        <v>1.0027291778883463</v>
      </c>
      <c r="H58" s="14">
        <f t="shared" si="15"/>
        <v>313.93920406597812</v>
      </c>
      <c r="I58" s="14">
        <f t="shared" si="16"/>
        <v>318.44495958818277</v>
      </c>
      <c r="J58" s="14">
        <f t="shared" si="17"/>
        <v>319.31405253054618</v>
      </c>
      <c r="K58" s="13">
        <f t="shared" si="18"/>
        <v>0.98585075572233394</v>
      </c>
      <c r="L58" s="13">
        <f t="shared" si="21"/>
        <v>0.98619730616865675</v>
      </c>
      <c r="M58" s="13">
        <f t="shared" si="22"/>
        <v>0.99964859927708671</v>
      </c>
      <c r="N58" s="13">
        <f t="shared" si="19"/>
        <v>20.412798668774791</v>
      </c>
      <c r="O58" s="13">
        <f t="shared" si="20"/>
        <v>1.4352318741490316E-2</v>
      </c>
    </row>
    <row r="59" spans="1:15" x14ac:dyDescent="0.35">
      <c r="B59" s="11">
        <v>57</v>
      </c>
      <c r="C59" s="12">
        <v>315.30099999999999</v>
      </c>
      <c r="G59" s="13">
        <f t="shared" si="24"/>
        <v>1.0010332138569085</v>
      </c>
      <c r="H59" s="14">
        <f t="shared" si="15"/>
        <v>314.97556288384084</v>
      </c>
      <c r="I59" s="14">
        <f t="shared" si="16"/>
        <v>319.63227165862406</v>
      </c>
      <c r="J59" s="14">
        <f t="shared" si="17"/>
        <v>319.96252015081689</v>
      </c>
      <c r="K59" s="13">
        <f t="shared" si="18"/>
        <v>0.9854310431464921</v>
      </c>
      <c r="L59" s="13">
        <f t="shared" si="21"/>
        <v>0.98506051041676856</v>
      </c>
      <c r="M59" s="13">
        <f t="shared" si="22"/>
        <v>1.0003761522523797</v>
      </c>
      <c r="N59" s="13">
        <f t="shared" si="19"/>
        <v>21.729770116471997</v>
      </c>
      <c r="O59" s="13">
        <f t="shared" si="20"/>
        <v>1.4784349402053587E-2</v>
      </c>
    </row>
    <row r="60" spans="1:15" x14ac:dyDescent="0.35">
      <c r="B60" s="11">
        <v>58</v>
      </c>
      <c r="C60" s="12">
        <v>315.66399999999999</v>
      </c>
      <c r="G60" s="13">
        <f t="shared" si="24"/>
        <v>1.0000307216665694</v>
      </c>
      <c r="H60" s="14">
        <f t="shared" si="15"/>
        <v>315.65430257376511</v>
      </c>
      <c r="I60" s="14">
        <f t="shared" si="16"/>
        <v>320.81958372906536</v>
      </c>
      <c r="J60" s="14">
        <f t="shared" si="17"/>
        <v>320.82943984134562</v>
      </c>
      <c r="K60" s="13">
        <f t="shared" si="18"/>
        <v>0.98389973238147965</v>
      </c>
      <c r="L60" s="13">
        <f t="shared" si="21"/>
        <v>0.98430200605351448</v>
      </c>
      <c r="M60" s="13">
        <f t="shared" si="22"/>
        <v>0.99959131072621932</v>
      </c>
      <c r="N60" s="13">
        <f t="shared" si="19"/>
        <v>26.681768754560775</v>
      </c>
      <c r="O60" s="13">
        <f t="shared" si="20"/>
        <v>1.6363728018860657E-2</v>
      </c>
    </row>
    <row r="61" spans="1:15" x14ac:dyDescent="0.35">
      <c r="B61" s="11">
        <v>59</v>
      </c>
      <c r="C61" s="12">
        <v>315.49299999999999</v>
      </c>
      <c r="G61" s="13">
        <f t="shared" si="24"/>
        <v>0.99613217239276197</v>
      </c>
      <c r="H61" s="14">
        <f t="shared" si="15"/>
        <v>316.71801066536096</v>
      </c>
      <c r="I61" s="14">
        <f t="shared" si="16"/>
        <v>322.00689579950671</v>
      </c>
      <c r="J61" s="14">
        <f t="shared" si="17"/>
        <v>320.76142863821235</v>
      </c>
      <c r="K61" s="13">
        <f t="shared" si="18"/>
        <v>0.98357524263257157</v>
      </c>
      <c r="L61" s="13">
        <f t="shared" si="21"/>
        <v>0.98397418809356108</v>
      </c>
      <c r="M61" s="13">
        <f t="shared" si="22"/>
        <v>0.99959455698552169</v>
      </c>
      <c r="N61" s="13">
        <f t="shared" si="19"/>
        <v>27.7563403159361</v>
      </c>
      <c r="O61" s="13">
        <f t="shared" si="20"/>
        <v>1.6699034964998766E-2</v>
      </c>
    </row>
    <row r="62" spans="1:15" x14ac:dyDescent="0.35">
      <c r="B62" s="11">
        <v>60</v>
      </c>
      <c r="C62" s="12">
        <v>315.60500000000002</v>
      </c>
      <c r="G62" s="13">
        <f t="shared" si="24"/>
        <v>0.99194525928034172</v>
      </c>
      <c r="H62" s="14">
        <f t="shared" si="15"/>
        <v>318.16775880250901</v>
      </c>
      <c r="I62" s="14">
        <f t="shared" si="16"/>
        <v>323.194207869948</v>
      </c>
      <c r="J62" s="14">
        <f t="shared" si="17"/>
        <v>320.59096232346025</v>
      </c>
      <c r="K62" s="13">
        <f t="shared" si="18"/>
        <v>0.98444758926663178</v>
      </c>
      <c r="N62" s="13">
        <f t="shared" si="19"/>
        <v>24.859820290964915</v>
      </c>
      <c r="O62" s="13">
        <f t="shared" si="20"/>
        <v>1.5798109419876832E-2</v>
      </c>
    </row>
    <row r="63" spans="1:15" x14ac:dyDescent="0.35">
      <c r="A63" s="11">
        <v>6</v>
      </c>
      <c r="B63" s="11">
        <v>61</v>
      </c>
      <c r="G63" s="13">
        <f t="shared" ref="G63:G74" si="25">G3</f>
        <v>0.9943303943269991</v>
      </c>
      <c r="I63" s="14">
        <f t="shared" si="16"/>
        <v>324.3815199403893</v>
      </c>
      <c r="J63" s="14">
        <f t="shared" si="17"/>
        <v>322.54240463471859</v>
      </c>
      <c r="M63" s="15" t="s">
        <v>71</v>
      </c>
      <c r="N63" s="13">
        <f>SUM(N3:N62)</f>
        <v>805.70870744283843</v>
      </c>
      <c r="O63" s="16">
        <f>SUM(O3:O62)</f>
        <v>0.6706292525124431</v>
      </c>
    </row>
    <row r="64" spans="1:15" x14ac:dyDescent="0.35">
      <c r="B64" s="11">
        <v>62</v>
      </c>
      <c r="G64" s="13">
        <f t="shared" si="25"/>
        <v>0.99686392163742144</v>
      </c>
      <c r="I64" s="14">
        <f t="shared" si="16"/>
        <v>325.56883201083059</v>
      </c>
      <c r="J64" s="14">
        <f t="shared" si="17"/>
        <v>324.54782264123145</v>
      </c>
      <c r="M64" s="15" t="s">
        <v>72</v>
      </c>
      <c r="N64" s="13">
        <f>N63/COUNT(C3:C62)</f>
        <v>13.42847845738064</v>
      </c>
    </row>
    <row r="65" spans="2:14" x14ac:dyDescent="0.35">
      <c r="B65" s="11">
        <v>63</v>
      </c>
      <c r="G65" s="13">
        <f t="shared" si="25"/>
        <v>1.0003809981380936</v>
      </c>
      <c r="I65" s="14">
        <f t="shared" si="16"/>
        <v>326.75614408127188</v>
      </c>
      <c r="J65" s="14">
        <f t="shared" si="17"/>
        <v>326.8806375637775</v>
      </c>
      <c r="M65" s="15" t="s">
        <v>73</v>
      </c>
      <c r="N65" s="13">
        <f>N64^0.5</f>
        <v>3.664488839849378</v>
      </c>
    </row>
    <row r="66" spans="2:14" x14ac:dyDescent="0.35">
      <c r="B66" s="11">
        <v>64</v>
      </c>
      <c r="G66" s="13">
        <f t="shared" si="25"/>
        <v>1.0020511409633679</v>
      </c>
      <c r="I66" s="14">
        <f t="shared" si="16"/>
        <v>327.94345615171318</v>
      </c>
      <c r="J66" s="14">
        <f t="shared" si="17"/>
        <v>328.61611440829438</v>
      </c>
      <c r="M66" s="15" t="s">
        <v>74</v>
      </c>
      <c r="N66" s="13">
        <f>N65*100/AVERAGE(C3:C62)</f>
        <v>1.2716622978826833</v>
      </c>
    </row>
    <row r="67" spans="2:14" x14ac:dyDescent="0.35">
      <c r="B67" s="11">
        <v>65</v>
      </c>
      <c r="G67" s="13">
        <f t="shared" si="25"/>
        <v>1.00383528074101</v>
      </c>
      <c r="I67" s="14">
        <f t="shared" ref="I67:I74" si="26">(Q$17+Q$18*B67)</f>
        <v>329.13076822215447</v>
      </c>
      <c r="J67" s="14">
        <f t="shared" ref="J67:J74" si="27">(Q$17+Q$18*B67)*G67</f>
        <v>330.39307711879076</v>
      </c>
      <c r="M67" s="15" t="s">
        <v>75</v>
      </c>
      <c r="N67" s="13">
        <f>O63/60*100</f>
        <v>1.1177154208540718</v>
      </c>
    </row>
    <row r="68" spans="2:14" x14ac:dyDescent="0.35">
      <c r="B68" s="11">
        <v>66</v>
      </c>
      <c r="G68" s="13">
        <f t="shared" si="25"/>
        <v>1.0064908936711543</v>
      </c>
      <c r="I68" s="14">
        <f t="shared" si="26"/>
        <v>330.31808029259582</v>
      </c>
      <c r="J68" s="14">
        <f t="shared" si="27"/>
        <v>332.46213982943488</v>
      </c>
    </row>
    <row r="69" spans="2:14" x14ac:dyDescent="0.35">
      <c r="B69" s="11">
        <v>67</v>
      </c>
      <c r="G69" s="13">
        <f t="shared" si="25"/>
        <v>1.0041768254370236</v>
      </c>
      <c r="I69" s="14">
        <f t="shared" si="26"/>
        <v>331.50539236303712</v>
      </c>
      <c r="J69" s="14">
        <f t="shared" si="27"/>
        <v>332.89003251836954</v>
      </c>
    </row>
    <row r="70" spans="2:14" x14ac:dyDescent="0.35">
      <c r="B70" s="11">
        <v>68</v>
      </c>
      <c r="G70" s="13">
        <f t="shared" si="25"/>
        <v>1.0027291778883463</v>
      </c>
      <c r="I70" s="14">
        <f t="shared" si="26"/>
        <v>332.69270443347841</v>
      </c>
      <c r="J70" s="14">
        <f t="shared" si="27"/>
        <v>333.6006820060324</v>
      </c>
    </row>
    <row r="71" spans="2:14" x14ac:dyDescent="0.35">
      <c r="B71" s="11">
        <v>69</v>
      </c>
      <c r="G71" s="13">
        <f t="shared" si="25"/>
        <v>1.0010332138569085</v>
      </c>
      <c r="I71" s="14">
        <f t="shared" si="26"/>
        <v>333.88001650391971</v>
      </c>
      <c r="J71" s="14">
        <f t="shared" si="27"/>
        <v>334.22498596351636</v>
      </c>
    </row>
    <row r="72" spans="2:14" x14ac:dyDescent="0.35">
      <c r="B72" s="11">
        <v>70</v>
      </c>
      <c r="G72" s="13">
        <f t="shared" si="25"/>
        <v>1.0000307216665694</v>
      </c>
      <c r="I72" s="14">
        <f t="shared" si="26"/>
        <v>335.067328574361</v>
      </c>
      <c r="J72" s="14">
        <f t="shared" si="27"/>
        <v>335.07762240110776</v>
      </c>
    </row>
    <row r="73" spans="2:14" x14ac:dyDescent="0.35">
      <c r="B73" s="11">
        <v>71</v>
      </c>
      <c r="G73" s="13">
        <f t="shared" si="25"/>
        <v>0.99613217239276197</v>
      </c>
      <c r="I73" s="14">
        <f t="shared" si="26"/>
        <v>336.25464064480229</v>
      </c>
      <c r="J73" s="14">
        <f t="shared" si="27"/>
        <v>334.95406566265444</v>
      </c>
    </row>
    <row r="74" spans="2:14" x14ac:dyDescent="0.35">
      <c r="B74" s="11">
        <v>72</v>
      </c>
      <c r="G74" s="13">
        <f t="shared" si="25"/>
        <v>0.99194525928034172</v>
      </c>
      <c r="I74" s="14">
        <f t="shared" si="26"/>
        <v>337.44195271524359</v>
      </c>
      <c r="J74" s="14">
        <f t="shared" si="27"/>
        <v>334.7239452781871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="64" zoomScaleNormal="70" workbookViewId="0">
      <selection activeCell="F17" sqref="F17"/>
    </sheetView>
  </sheetViews>
  <sheetFormatPr defaultColWidth="8.6328125" defaultRowHeight="14.5" x14ac:dyDescent="0.35"/>
  <cols>
    <col min="1" max="1" width="8.1796875" customWidth="1"/>
    <col min="2" max="2" width="12" customWidth="1"/>
    <col min="3" max="4" width="14" customWidth="1"/>
    <col min="5" max="6" width="16" customWidth="1"/>
    <col min="7" max="7" width="13" customWidth="1"/>
  </cols>
  <sheetData>
    <row r="1" spans="1:7" x14ac:dyDescent="0.35">
      <c r="A1" s="17" t="s">
        <v>3</v>
      </c>
      <c r="B1" s="17" t="s">
        <v>26</v>
      </c>
      <c r="C1" s="17" t="s">
        <v>41</v>
      </c>
      <c r="D1" s="17" t="s">
        <v>29</v>
      </c>
      <c r="E1" s="17" t="s">
        <v>76</v>
      </c>
      <c r="F1" s="17" t="s">
        <v>77</v>
      </c>
      <c r="G1" s="17" t="s">
        <v>78</v>
      </c>
    </row>
    <row r="2" spans="1:7" x14ac:dyDescent="0.35">
      <c r="E2" s="17" t="s">
        <v>79</v>
      </c>
      <c r="F2" s="17" t="s">
        <v>80</v>
      </c>
    </row>
    <row r="3" spans="1:7" x14ac:dyDescent="0.35">
      <c r="A3" s="18">
        <f>MD!B62</f>
        <v>60</v>
      </c>
      <c r="B3" s="13">
        <f>MD!G62</f>
        <v>0.99194525928034172</v>
      </c>
      <c r="C3" s="13">
        <v>324.38151994038998</v>
      </c>
      <c r="D3" s="13">
        <f t="shared" ref="D3:D14" si="0">B3*C3</f>
        <v>321.76871090302149</v>
      </c>
      <c r="E3" s="13">
        <f t="shared" ref="E3:E14" si="1">D3-1.96*G3</f>
        <v>314.21751943484617</v>
      </c>
      <c r="F3" s="13">
        <f t="shared" ref="F3:F14" si="2">D3+1.96*G3</f>
        <v>329.3199023711968</v>
      </c>
      <c r="G3" s="13">
        <v>3.8526487082527101</v>
      </c>
    </row>
    <row r="4" spans="1:7" x14ac:dyDescent="0.35">
      <c r="A4" s="18">
        <f>MD!B63</f>
        <v>61</v>
      </c>
      <c r="B4" s="13">
        <f>MD!G63</f>
        <v>0.9943303943269991</v>
      </c>
      <c r="C4" s="13">
        <v>325.56883201083099</v>
      </c>
      <c r="D4" s="13">
        <f t="shared" si="0"/>
        <v>323.72298511391011</v>
      </c>
      <c r="E4" s="13">
        <f t="shared" si="1"/>
        <v>316.15962737876697</v>
      </c>
      <c r="F4" s="13">
        <f t="shared" si="2"/>
        <v>331.28634284905326</v>
      </c>
      <c r="G4" s="13">
        <v>3.85885598731794</v>
      </c>
    </row>
    <row r="5" spans="1:7" x14ac:dyDescent="0.35">
      <c r="A5" s="18">
        <f>MD!B64</f>
        <v>62</v>
      </c>
      <c r="B5" s="13">
        <f>MD!G64</f>
        <v>0.99686392163742144</v>
      </c>
      <c r="C5" s="13">
        <v>326.756144081272</v>
      </c>
      <c r="D5" s="13">
        <f t="shared" si="0"/>
        <v>325.73141120797914</v>
      </c>
      <c r="E5" s="13">
        <f t="shared" si="1"/>
        <v>318.15551523919538</v>
      </c>
      <c r="F5" s="13">
        <f t="shared" si="2"/>
        <v>333.30730717676289</v>
      </c>
      <c r="G5" s="13">
        <v>3.86525304529783</v>
      </c>
    </row>
    <row r="6" spans="1:7" x14ac:dyDescent="0.35">
      <c r="A6" s="18">
        <f>MD!B65</f>
        <v>63</v>
      </c>
      <c r="B6" s="13">
        <f>MD!G65</f>
        <v>1.0003809981380936</v>
      </c>
      <c r="C6" s="13">
        <v>327.94345615171397</v>
      </c>
      <c r="D6" s="13">
        <f t="shared" si="0"/>
        <v>328.06840199790776</v>
      </c>
      <c r="E6" s="13">
        <f t="shared" si="1"/>
        <v>320.47959767250211</v>
      </c>
      <c r="F6" s="13">
        <f t="shared" si="2"/>
        <v>335.6572063233134</v>
      </c>
      <c r="G6" s="13">
        <v>3.8718389415334999</v>
      </c>
    </row>
    <row r="7" spans="1:7" x14ac:dyDescent="0.35">
      <c r="A7" s="18">
        <f>MD!B66</f>
        <v>64</v>
      </c>
      <c r="B7" s="13">
        <f>MD!G66</f>
        <v>1.0020511409633679</v>
      </c>
      <c r="C7" s="13">
        <v>329.13076822215498</v>
      </c>
      <c r="D7" s="13">
        <f t="shared" si="0"/>
        <v>329.80586182316017</v>
      </c>
      <c r="E7" s="13">
        <f t="shared" si="1"/>
        <v>322.20378090356093</v>
      </c>
      <c r="F7" s="13">
        <f t="shared" si="2"/>
        <v>337.40794274275942</v>
      </c>
      <c r="G7" s="13">
        <v>3.8786127140812501</v>
      </c>
    </row>
    <row r="8" spans="1:7" x14ac:dyDescent="0.35">
      <c r="A8" s="18">
        <f>MD!B67</f>
        <v>65</v>
      </c>
      <c r="B8" s="13">
        <f>MD!G67</f>
        <v>1.00383528074101</v>
      </c>
      <c r="C8" s="13">
        <v>330.31808029259599</v>
      </c>
      <c r="D8" s="13">
        <f t="shared" si="0"/>
        <v>331.58494286434961</v>
      </c>
      <c r="E8" s="13">
        <f t="shared" si="1"/>
        <v>323.96921903884544</v>
      </c>
      <c r="F8" s="13">
        <f t="shared" si="2"/>
        <v>339.20066668985379</v>
      </c>
      <c r="G8" s="13">
        <v>3.8855733803592698</v>
      </c>
    </row>
    <row r="9" spans="1:7" x14ac:dyDescent="0.35">
      <c r="A9" s="18">
        <f>MD!B68</f>
        <v>66</v>
      </c>
      <c r="B9" s="13">
        <f>MD!G68</f>
        <v>1.0064908936711543</v>
      </c>
      <c r="C9" s="13">
        <v>331.505392363037</v>
      </c>
      <c r="D9" s="13">
        <f t="shared" si="0"/>
        <v>333.65715861627979</v>
      </c>
      <c r="E9" s="13">
        <f t="shared" si="1"/>
        <v>326.02742753819149</v>
      </c>
      <c r="F9" s="13">
        <f t="shared" si="2"/>
        <v>341.28688969436809</v>
      </c>
      <c r="G9" s="13">
        <v>3.89271993780015</v>
      </c>
    </row>
    <row r="10" spans="1:7" x14ac:dyDescent="0.35">
      <c r="A10" s="18">
        <f>MD!B69</f>
        <v>67</v>
      </c>
      <c r="B10" s="13">
        <f>MD!G69</f>
        <v>1.0041768254370236</v>
      </c>
      <c r="C10" s="13">
        <v>332.69270443347898</v>
      </c>
      <c r="D10" s="13">
        <f t="shared" si="0"/>
        <v>334.08230378406893</v>
      </c>
      <c r="E10" s="13">
        <f t="shared" si="1"/>
        <v>326.43820310963258</v>
      </c>
      <c r="F10" s="13">
        <f t="shared" si="2"/>
        <v>341.72640445850527</v>
      </c>
      <c r="G10" s="13">
        <v>3.9000513645083501</v>
      </c>
    </row>
    <row r="11" spans="1:7" x14ac:dyDescent="0.35">
      <c r="A11" s="18">
        <f>MD!B70</f>
        <v>68</v>
      </c>
      <c r="B11" s="13">
        <f>MD!G70</f>
        <v>1.0027291778883463</v>
      </c>
      <c r="C11" s="13">
        <v>333.88001650391999</v>
      </c>
      <c r="D11" s="13">
        <f t="shared" si="0"/>
        <v>334.79123446232319</v>
      </c>
      <c r="E11" s="13">
        <f t="shared" si="1"/>
        <v>327.13240388727661</v>
      </c>
      <c r="F11" s="13">
        <f t="shared" si="2"/>
        <v>342.45006503736977</v>
      </c>
      <c r="G11" s="13">
        <v>3.9075666199217198</v>
      </c>
    </row>
    <row r="12" spans="1:7" x14ac:dyDescent="0.35">
      <c r="A12" s="18">
        <f>MD!B71</f>
        <v>69</v>
      </c>
      <c r="B12" s="13">
        <f>MD!G71</f>
        <v>1.0010332138569085</v>
      </c>
      <c r="C12" s="13">
        <v>335.067328574361</v>
      </c>
      <c r="D12" s="13">
        <f t="shared" si="0"/>
        <v>335.41352478124134</v>
      </c>
      <c r="E12" s="13">
        <f t="shared" si="1"/>
        <v>327.73960607610798</v>
      </c>
      <c r="F12" s="13">
        <f t="shared" si="2"/>
        <v>343.0874434863747</v>
      </c>
      <c r="G12" s="13">
        <v>3.9152646454762001</v>
      </c>
    </row>
    <row r="13" spans="1:7" x14ac:dyDescent="0.35">
      <c r="A13" s="18">
        <f>MD!B72</f>
        <v>70</v>
      </c>
      <c r="B13" s="13">
        <f>MD!G72</f>
        <v>1.0000307216665694</v>
      </c>
      <c r="C13" s="13">
        <v>336.25464064480298</v>
      </c>
      <c r="D13" s="13">
        <f t="shared" si="0"/>
        <v>336.26497094775527</v>
      </c>
      <c r="E13" s="13">
        <f t="shared" si="1"/>
        <v>328.57560799182056</v>
      </c>
      <c r="F13" s="13">
        <f t="shared" si="2"/>
        <v>343.95433390368999</v>
      </c>
      <c r="G13" s="13">
        <v>3.9231443652728002</v>
      </c>
    </row>
    <row r="14" spans="1:7" x14ac:dyDescent="0.35">
      <c r="A14" s="18">
        <f>MD!B73</f>
        <v>71</v>
      </c>
      <c r="B14" s="13">
        <f>MD!G73</f>
        <v>0.99613217239276197</v>
      </c>
      <c r="C14" s="13">
        <v>337.44195271524399</v>
      </c>
      <c r="D14" s="13">
        <f t="shared" si="0"/>
        <v>336.13678541469164</v>
      </c>
      <c r="E14" s="13">
        <f t="shared" si="1"/>
        <v>328.43162422866942</v>
      </c>
      <c r="F14" s="13">
        <f t="shared" si="2"/>
        <v>343.84194660071387</v>
      </c>
      <c r="G14" s="13">
        <v>3.93120468674603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4"/>
  <sheetViews>
    <sheetView topLeftCell="G2" zoomScale="61" zoomScaleNormal="130" workbookViewId="0"/>
  </sheetViews>
  <sheetFormatPr defaultColWidth="8.6328125" defaultRowHeight="14.5" x14ac:dyDescent="0.35"/>
  <cols>
    <col min="1" max="1" width="6" customWidth="1"/>
    <col min="2" max="2" width="4" customWidth="1"/>
    <col min="3" max="4" width="9" customWidth="1"/>
    <col min="5" max="5" width="8" customWidth="1"/>
    <col min="6" max="6" width="9" customWidth="1"/>
    <col min="7" max="7" width="14" customWidth="1"/>
    <col min="8" max="11" width="9" customWidth="1"/>
    <col min="12" max="12" width="11" customWidth="1"/>
    <col min="13" max="13" width="13" customWidth="1"/>
    <col min="14" max="14" width="10" customWidth="1"/>
    <col min="15" max="15" width="9" customWidth="1"/>
    <col min="16" max="16" width="19" customWidth="1"/>
    <col min="17" max="17" width="13" customWidth="1"/>
    <col min="18" max="18" width="15" customWidth="1"/>
    <col min="19" max="19" width="11" customWidth="1"/>
    <col min="20" max="20" width="10" customWidth="1"/>
    <col min="21" max="21" width="15" customWidth="1"/>
    <col min="22" max="22" width="13" customWidth="1"/>
    <col min="23" max="23" width="15" customWidth="1"/>
    <col min="24" max="24" width="14" customWidth="1"/>
  </cols>
  <sheetData>
    <row r="1" spans="1:24" x14ac:dyDescent="0.35">
      <c r="A1" s="9" t="s">
        <v>1</v>
      </c>
      <c r="B1" s="9" t="s">
        <v>3</v>
      </c>
      <c r="C1" s="9" t="s">
        <v>22</v>
      </c>
      <c r="D1" s="9" t="s">
        <v>23</v>
      </c>
      <c r="E1" s="9" t="s">
        <v>81</v>
      </c>
      <c r="F1" s="9" t="s">
        <v>82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83</v>
      </c>
      <c r="L1" s="9" t="s">
        <v>31</v>
      </c>
      <c r="M1" s="9" t="s">
        <v>32</v>
      </c>
      <c r="N1" s="9" t="s">
        <v>33</v>
      </c>
      <c r="O1" s="9" t="s">
        <v>34</v>
      </c>
      <c r="P1" s="10" t="s">
        <v>35</v>
      </c>
    </row>
    <row r="2" spans="1:24" ht="24" x14ac:dyDescent="0.35">
      <c r="C2" s="9" t="s">
        <v>84</v>
      </c>
      <c r="D2" s="9" t="s">
        <v>85</v>
      </c>
      <c r="E2" s="9" t="s">
        <v>86</v>
      </c>
      <c r="G2" s="9" t="s">
        <v>87</v>
      </c>
      <c r="H2" s="9" t="s">
        <v>88</v>
      </c>
      <c r="I2" s="9" t="s">
        <v>41</v>
      </c>
      <c r="J2" s="9" t="s">
        <v>89</v>
      </c>
      <c r="K2" s="9" t="s">
        <v>90</v>
      </c>
      <c r="L2" s="9" t="s">
        <v>91</v>
      </c>
      <c r="M2" s="9" t="s">
        <v>92</v>
      </c>
      <c r="N2" s="9" t="s">
        <v>46</v>
      </c>
    </row>
    <row r="3" spans="1:24" x14ac:dyDescent="0.35">
      <c r="A3" s="11">
        <v>1</v>
      </c>
      <c r="B3" s="11">
        <v>1</v>
      </c>
      <c r="C3" s="12">
        <v>257.971</v>
      </c>
      <c r="F3" s="13">
        <f>AVERAGE(E15,E27,E39,E51)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-30.365294270833321</v>
      </c>
      <c r="G3" s="13">
        <f t="shared" ref="G3:G14" si="0">F3</f>
        <v>-30.365294270833321</v>
      </c>
      <c r="H3" s="14">
        <f t="shared" ref="H3:H34" si="1">C3-G3</f>
        <v>288.33629427083332</v>
      </c>
      <c r="I3" s="14">
        <f t="shared" ref="I3:I34" si="2">(Q$17+Q$18*B3)</f>
        <v>253.13753077185839</v>
      </c>
      <c r="J3" s="14">
        <f t="shared" ref="J3:J34" si="3">I3+G3</f>
        <v>222.77223650102508</v>
      </c>
      <c r="K3" s="13">
        <f t="shared" ref="K3:K34" si="4">C3-J3</f>
        <v>35.198763498974927</v>
      </c>
      <c r="N3" s="13">
        <f t="shared" ref="N3:N34" si="5">(C3-J3)^2</f>
        <v>1238.9529518567697</v>
      </c>
      <c r="O3" s="13">
        <f t="shared" ref="O3:O34" si="6">ABS(C3-J3)/C3</f>
        <v>0.13644465268954623</v>
      </c>
      <c r="P3" s="15" t="s">
        <v>47</v>
      </c>
    </row>
    <row r="4" spans="1:24" x14ac:dyDescent="0.35">
      <c r="B4" s="11">
        <v>2</v>
      </c>
      <c r="C4" s="12">
        <v>258.678</v>
      </c>
      <c r="F4" s="13">
        <f>AVERAGE(E16,E28,E40,E52)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-29.619679687499985</v>
      </c>
      <c r="G4" s="13">
        <f t="shared" si="0"/>
        <v>-29.619679687499985</v>
      </c>
      <c r="H4" s="14">
        <f t="shared" si="1"/>
        <v>288.29767968749996</v>
      </c>
      <c r="I4" s="14">
        <f t="shared" si="2"/>
        <v>254.32491108467676</v>
      </c>
      <c r="J4" s="14">
        <f t="shared" si="3"/>
        <v>224.70523139717676</v>
      </c>
      <c r="K4" s="13">
        <f t="shared" si="4"/>
        <v>33.972768602823237</v>
      </c>
      <c r="L4" s="13">
        <f t="shared" ref="L4:L35" si="7">AVERAGE(K3:K5)</f>
        <v>33.458483880600994</v>
      </c>
      <c r="M4" s="13">
        <f t="shared" ref="M4:M35" si="8">K4-L4</f>
        <v>0.51428472222224286</v>
      </c>
      <c r="N4" s="13">
        <f t="shared" si="5"/>
        <v>1154.1490065409723</v>
      </c>
      <c r="O4" s="13">
        <f t="shared" si="6"/>
        <v>0.13133226870017256</v>
      </c>
      <c r="P4" s="15" t="s">
        <v>48</v>
      </c>
      <c r="Q4" s="16">
        <v>0.98440753754813304</v>
      </c>
    </row>
    <row r="5" spans="1:24" x14ac:dyDescent="0.35">
      <c r="B5" s="11">
        <v>3</v>
      </c>
      <c r="C5" s="12">
        <v>258.11500000000001</v>
      </c>
      <c r="F5" s="13">
        <f>AVERAGE(E17,E29,E41,E53)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-28.60121093749996</v>
      </c>
      <c r="G5" s="13">
        <f t="shared" si="0"/>
        <v>-28.60121093749996</v>
      </c>
      <c r="H5" s="14">
        <f t="shared" si="1"/>
        <v>286.71621093749997</v>
      </c>
      <c r="I5" s="14">
        <f t="shared" si="2"/>
        <v>255.51229139749515</v>
      </c>
      <c r="J5" s="14">
        <f t="shared" si="3"/>
        <v>226.91108045999519</v>
      </c>
      <c r="K5" s="13">
        <f t="shared" si="4"/>
        <v>31.203919540004819</v>
      </c>
      <c r="L5" s="13">
        <f t="shared" si="7"/>
        <v>30.994968151115955</v>
      </c>
      <c r="M5" s="13">
        <f t="shared" si="8"/>
        <v>0.20895138888886322</v>
      </c>
      <c r="N5" s="13">
        <f t="shared" si="5"/>
        <v>973.6845946590945</v>
      </c>
      <c r="O5" s="13">
        <f t="shared" si="6"/>
        <v>0.12089153881023891</v>
      </c>
      <c r="P5" s="15" t="s">
        <v>49</v>
      </c>
      <c r="Q5" s="16">
        <v>0.96905819998157805</v>
      </c>
    </row>
    <row r="6" spans="1:24" x14ac:dyDescent="0.35">
      <c r="B6" s="11">
        <v>4</v>
      </c>
      <c r="C6" s="12">
        <v>256.38900000000001</v>
      </c>
      <c r="F6" s="13">
        <f>AVERAGE(E18,E30,E42,E54)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-28.118888020833314</v>
      </c>
      <c r="G6" s="13">
        <f t="shared" si="0"/>
        <v>-28.118888020833314</v>
      </c>
      <c r="H6" s="14">
        <f t="shared" si="1"/>
        <v>284.50788802083332</v>
      </c>
      <c r="I6" s="14">
        <f t="shared" si="2"/>
        <v>256.69967171031351</v>
      </c>
      <c r="J6" s="14">
        <f t="shared" si="3"/>
        <v>228.5807836894802</v>
      </c>
      <c r="K6" s="13">
        <f t="shared" si="4"/>
        <v>27.808216310519811</v>
      </c>
      <c r="L6" s="13">
        <f t="shared" si="7"/>
        <v>28.378726727186461</v>
      </c>
      <c r="M6" s="13">
        <f t="shared" si="8"/>
        <v>-0.57051041666665014</v>
      </c>
      <c r="N6" s="13">
        <f t="shared" si="5"/>
        <v>773.29689437266006</v>
      </c>
      <c r="O6" s="13">
        <f t="shared" si="6"/>
        <v>0.10846103503083131</v>
      </c>
      <c r="P6" s="15" t="s">
        <v>50</v>
      </c>
      <c r="Q6" s="16">
        <v>0.968524720670915</v>
      </c>
    </row>
    <row r="7" spans="1:24" x14ac:dyDescent="0.35">
      <c r="B7" s="11">
        <v>5</v>
      </c>
      <c r="C7" s="12">
        <v>256.39400000000001</v>
      </c>
      <c r="F7" s="13">
        <f>AVERAGE(E19,E31,E43,E55)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-27.617096354166652</v>
      </c>
      <c r="G7" s="13">
        <f t="shared" si="0"/>
        <v>-27.617096354166652</v>
      </c>
      <c r="H7" s="14">
        <f t="shared" si="1"/>
        <v>284.01109635416668</v>
      </c>
      <c r="I7" s="14">
        <f t="shared" si="2"/>
        <v>257.8870520231319</v>
      </c>
      <c r="J7" s="14">
        <f t="shared" si="3"/>
        <v>230.26995566896525</v>
      </c>
      <c r="K7" s="13">
        <f t="shared" si="4"/>
        <v>26.124044331034753</v>
      </c>
      <c r="L7" s="13">
        <f t="shared" si="7"/>
        <v>26.506957525479198</v>
      </c>
      <c r="M7" s="13">
        <f t="shared" si="8"/>
        <v>-0.38291319444444483</v>
      </c>
      <c r="N7" s="13">
        <f t="shared" si="5"/>
        <v>682.46569220986896</v>
      </c>
      <c r="O7" s="13">
        <f t="shared" si="6"/>
        <v>0.10189023273179074</v>
      </c>
      <c r="P7" s="15" t="s">
        <v>51</v>
      </c>
      <c r="Q7" s="16">
        <v>3.7372283066949001</v>
      </c>
    </row>
    <row r="8" spans="1:24" x14ac:dyDescent="0.35">
      <c r="B8" s="11">
        <v>6</v>
      </c>
      <c r="C8" s="12">
        <v>257.79700000000003</v>
      </c>
      <c r="F8" s="13">
        <f>AVERAGE(E20,E32,E44,E56)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-26.866044270833289</v>
      </c>
      <c r="G8" s="13">
        <f t="shared" si="0"/>
        <v>-26.866044270833289</v>
      </c>
      <c r="H8" s="14">
        <f t="shared" si="1"/>
        <v>284.66304427083332</v>
      </c>
      <c r="I8" s="14">
        <f t="shared" si="2"/>
        <v>259.07443233595029</v>
      </c>
      <c r="J8" s="14">
        <f t="shared" si="3"/>
        <v>232.20838806511699</v>
      </c>
      <c r="K8" s="13">
        <f t="shared" si="4"/>
        <v>25.588611934883033</v>
      </c>
      <c r="L8" s="13">
        <f t="shared" si="7"/>
        <v>26.034410545994159</v>
      </c>
      <c r="M8" s="13">
        <f t="shared" si="8"/>
        <v>-0.44579861111112606</v>
      </c>
      <c r="N8" s="13">
        <f t="shared" si="5"/>
        <v>654.77706075403842</v>
      </c>
      <c r="O8" s="13">
        <f t="shared" si="6"/>
        <v>9.9258765365318566E-2</v>
      </c>
      <c r="P8" s="15" t="s">
        <v>52</v>
      </c>
      <c r="Q8" s="16">
        <v>60</v>
      </c>
    </row>
    <row r="9" spans="1:24" x14ac:dyDescent="0.35">
      <c r="B9" s="11">
        <v>7</v>
      </c>
      <c r="C9" s="12">
        <v>259.101</v>
      </c>
      <c r="D9" s="14">
        <f t="shared" ref="D9:D56" si="9">(0.5*C3+C4+C5+C6+C7+C8+C9+C10+C11+C12+C13+C14+0.5*C15)/12</f>
        <v>258.96162500000003</v>
      </c>
      <c r="E9" s="13">
        <f t="shared" ref="E9:E56" si="10">C9-D9</f>
        <v>0.13937499999997272</v>
      </c>
      <c r="F9" s="13">
        <f>AVERAGE(E9,E21,E33,E45)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-27.551388020833361</v>
      </c>
      <c r="G9" s="13">
        <f t="shared" si="0"/>
        <v>-27.551388020833361</v>
      </c>
      <c r="H9" s="14">
        <f t="shared" si="1"/>
        <v>286.65238802083337</v>
      </c>
      <c r="I9" s="14">
        <f t="shared" si="2"/>
        <v>260.26181264876868</v>
      </c>
      <c r="J9" s="14">
        <f t="shared" si="3"/>
        <v>232.71042462793531</v>
      </c>
      <c r="K9" s="13">
        <f t="shared" si="4"/>
        <v>26.390575372064689</v>
      </c>
      <c r="L9" s="13">
        <f t="shared" si="7"/>
        <v>26.13670384428691</v>
      </c>
      <c r="M9" s="13">
        <f t="shared" si="8"/>
        <v>0.25387152777777899</v>
      </c>
      <c r="N9" s="13">
        <f t="shared" si="5"/>
        <v>696.46246846862732</v>
      </c>
      <c r="O9" s="13">
        <f t="shared" si="6"/>
        <v>0.10185439412454868</v>
      </c>
    </row>
    <row r="10" spans="1:24" x14ac:dyDescent="0.35">
      <c r="B10" s="11">
        <v>8</v>
      </c>
      <c r="C10" s="12">
        <v>259.91800000000001</v>
      </c>
      <c r="D10" s="14">
        <f t="shared" si="9"/>
        <v>259.29275000000001</v>
      </c>
      <c r="E10" s="13">
        <f t="shared" si="10"/>
        <v>0.62524999999999409</v>
      </c>
      <c r="F10" s="13">
        <f>AVERAGE(E10,E22,E34,E46)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-27.962117187500017</v>
      </c>
      <c r="G10" s="13">
        <f t="shared" si="0"/>
        <v>-27.962117187500017</v>
      </c>
      <c r="H10" s="14">
        <f t="shared" si="1"/>
        <v>287.88011718750005</v>
      </c>
      <c r="I10" s="14">
        <f t="shared" si="2"/>
        <v>261.44919296158702</v>
      </c>
      <c r="J10" s="14">
        <f t="shared" si="3"/>
        <v>233.487075774087</v>
      </c>
      <c r="K10" s="13">
        <f t="shared" si="4"/>
        <v>26.430924225913003</v>
      </c>
      <c r="L10" s="13">
        <f t="shared" si="7"/>
        <v>26.301184642579653</v>
      </c>
      <c r="M10" s="13">
        <f t="shared" si="8"/>
        <v>0.12973958333335034</v>
      </c>
      <c r="N10" s="13">
        <f t="shared" si="5"/>
        <v>698.5937554359549</v>
      </c>
      <c r="O10" s="13">
        <f t="shared" si="6"/>
        <v>0.10168947216396326</v>
      </c>
      <c r="P10" s="15" t="s">
        <v>53</v>
      </c>
    </row>
    <row r="11" spans="1:24" x14ac:dyDescent="0.35">
      <c r="B11" s="11">
        <v>9</v>
      </c>
      <c r="C11" s="12">
        <v>260.27999999999997</v>
      </c>
      <c r="D11" s="14">
        <f t="shared" si="9"/>
        <v>259.7551666666667</v>
      </c>
      <c r="E11" s="13">
        <f t="shared" si="10"/>
        <v>0.52483333333327664</v>
      </c>
      <c r="F11" s="13">
        <f>AVERAGE(E11,E23,E35,E47)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-28.438627604166687</v>
      </c>
      <c r="G11" s="13">
        <f t="shared" si="0"/>
        <v>-28.438627604166687</v>
      </c>
      <c r="H11" s="14">
        <f t="shared" si="1"/>
        <v>288.71862760416667</v>
      </c>
      <c r="I11" s="14">
        <f t="shared" si="2"/>
        <v>262.63657327440541</v>
      </c>
      <c r="J11" s="14">
        <f t="shared" si="3"/>
        <v>234.19794567023871</v>
      </c>
      <c r="K11" s="13">
        <f t="shared" si="4"/>
        <v>26.082054329761263</v>
      </c>
      <c r="L11" s="13">
        <f t="shared" si="7"/>
        <v>25.935856413094598</v>
      </c>
      <c r="M11" s="13">
        <f t="shared" si="8"/>
        <v>0.14619791666666515</v>
      </c>
      <c r="N11" s="13">
        <f t="shared" si="5"/>
        <v>680.27355806061826</v>
      </c>
      <c r="O11" s="13">
        <f t="shared" si="6"/>
        <v>0.10020767761549587</v>
      </c>
      <c r="Q11" s="15" t="s">
        <v>54</v>
      </c>
      <c r="R11" s="15" t="s">
        <v>55</v>
      </c>
      <c r="S11" s="15" t="s">
        <v>56</v>
      </c>
      <c r="T11" s="15" t="s">
        <v>57</v>
      </c>
      <c r="U11" s="15" t="s">
        <v>58</v>
      </c>
    </row>
    <row r="12" spans="1:24" x14ac:dyDescent="0.35">
      <c r="B12" s="11">
        <v>10</v>
      </c>
      <c r="C12" s="12">
        <v>260.38799999999998</v>
      </c>
      <c r="D12" s="14">
        <f t="shared" si="9"/>
        <v>260.48129166666666</v>
      </c>
      <c r="E12" s="13">
        <f t="shared" si="10"/>
        <v>-9.3291666666686979E-2</v>
      </c>
      <c r="F12" s="13">
        <f>AVERAGE(E12,E24,E36,E48)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-28.730544270833352</v>
      </c>
      <c r="G12" s="13">
        <f t="shared" si="0"/>
        <v>-28.730544270833352</v>
      </c>
      <c r="H12" s="14">
        <f t="shared" si="1"/>
        <v>289.11854427083335</v>
      </c>
      <c r="I12" s="14">
        <f t="shared" si="2"/>
        <v>263.8239535872238</v>
      </c>
      <c r="J12" s="14">
        <f t="shared" si="3"/>
        <v>235.09340931639045</v>
      </c>
      <c r="K12" s="13">
        <f t="shared" si="4"/>
        <v>25.294590683609528</v>
      </c>
      <c r="L12" s="13">
        <f t="shared" si="7"/>
        <v>25.48376429472064</v>
      </c>
      <c r="M12" s="13">
        <f t="shared" si="8"/>
        <v>-0.18917361111111219</v>
      </c>
      <c r="N12" s="13">
        <f t="shared" si="5"/>
        <v>639.81631785134596</v>
      </c>
      <c r="O12" s="13">
        <f t="shared" si="6"/>
        <v>9.7141921607791185E-2</v>
      </c>
      <c r="P12" s="15" t="s">
        <v>59</v>
      </c>
      <c r="Q12" s="16">
        <v>1</v>
      </c>
      <c r="R12" s="16">
        <v>25370.646770799602</v>
      </c>
      <c r="S12" s="16">
        <v>25370.646770799602</v>
      </c>
      <c r="T12" s="16">
        <v>1816.48693888104</v>
      </c>
      <c r="U12" s="16">
        <v>1.7814355685675801E-45</v>
      </c>
    </row>
    <row r="13" spans="1:24" x14ac:dyDescent="0.35">
      <c r="B13" s="11">
        <v>11</v>
      </c>
      <c r="C13" s="12">
        <v>260.22899999999998</v>
      </c>
      <c r="D13" s="14">
        <f t="shared" si="9"/>
        <v>261.45904166666668</v>
      </c>
      <c r="E13" s="13">
        <f t="shared" si="10"/>
        <v>-1.2300416666666933</v>
      </c>
      <c r="F13" s="13">
        <f>AVERAGE(E13,E25,E37,E49)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-29.856981770833332</v>
      </c>
      <c r="G13" s="13">
        <f t="shared" si="0"/>
        <v>-29.856981770833332</v>
      </c>
      <c r="H13" s="14">
        <f t="shared" si="1"/>
        <v>290.08598177083331</v>
      </c>
      <c r="I13" s="14">
        <f t="shared" si="2"/>
        <v>265.01133390004219</v>
      </c>
      <c r="J13" s="14">
        <f t="shared" si="3"/>
        <v>235.15435212920886</v>
      </c>
      <c r="K13" s="13">
        <f t="shared" si="4"/>
        <v>25.074647870791125</v>
      </c>
      <c r="L13" s="13">
        <f t="shared" si="7"/>
        <v>25.239852731902243</v>
      </c>
      <c r="M13" s="13">
        <f t="shared" si="8"/>
        <v>-0.16520486111111765</v>
      </c>
      <c r="N13" s="13">
        <f t="shared" si="5"/>
        <v>628.73796584416993</v>
      </c>
      <c r="O13" s="13">
        <f t="shared" si="6"/>
        <v>9.6356085873561856E-2</v>
      </c>
      <c r="P13" s="15" t="s">
        <v>60</v>
      </c>
      <c r="Q13" s="16">
        <v>58</v>
      </c>
      <c r="R13" s="16">
        <v>810.07877414897303</v>
      </c>
      <c r="S13" s="16">
        <v>13.966875416361599</v>
      </c>
    </row>
    <row r="14" spans="1:24" x14ac:dyDescent="0.35">
      <c r="B14" s="11">
        <v>12</v>
      </c>
      <c r="C14" s="12">
        <v>260.47399999999999</v>
      </c>
      <c r="D14" s="14">
        <f t="shared" si="9"/>
        <v>262.57154166666669</v>
      </c>
      <c r="E14" s="13">
        <f t="shared" si="10"/>
        <v>-2.0975416666667002</v>
      </c>
      <c r="F14" s="13">
        <f>AVERAGE(E14,E26,E38,E50)-(SUM(AVERAGE(E15,27,39,51),AVERAGE(E16,28,40,52),AVERAGE(E17,29,41,53),AVERAGE(E18,30,42,54),AVERAGE(E19,31,43,55),AVERAGE(E20,32,44,56),AVERAGE(E9,21,33,45),AVERAGE(E10,22,34,46),AVERAGE(E11,23,35,47),AVERAGE(E12,24,36,48),AVERAGE(E13,25,37,49),AVERAGE(E14,26,38,50))/12)</f>
        <v>-31.075033854166666</v>
      </c>
      <c r="G14" s="13">
        <f t="shared" si="0"/>
        <v>-31.075033854166666</v>
      </c>
      <c r="H14" s="14">
        <f t="shared" si="1"/>
        <v>291.54903385416668</v>
      </c>
      <c r="I14" s="14">
        <f t="shared" si="2"/>
        <v>266.19871421286058</v>
      </c>
      <c r="J14" s="14">
        <f t="shared" si="3"/>
        <v>235.12368035869392</v>
      </c>
      <c r="K14" s="13">
        <f t="shared" si="4"/>
        <v>25.350319641306072</v>
      </c>
      <c r="L14" s="13">
        <f t="shared" si="7"/>
        <v>24.995389085750531</v>
      </c>
      <c r="M14" s="13">
        <f t="shared" si="8"/>
        <v>0.35493055555554065</v>
      </c>
      <c r="N14" s="13">
        <f t="shared" si="5"/>
        <v>642.6387059163884</v>
      </c>
      <c r="O14" s="13">
        <f t="shared" si="6"/>
        <v>9.7323800614671996E-2</v>
      </c>
      <c r="P14" s="15" t="s">
        <v>61</v>
      </c>
      <c r="Q14" s="16">
        <v>59</v>
      </c>
      <c r="R14" s="16">
        <v>26180.7255449486</v>
      </c>
    </row>
    <row r="15" spans="1:24" x14ac:dyDescent="0.35">
      <c r="A15" s="11">
        <v>2</v>
      </c>
      <c r="B15" s="11">
        <v>13</v>
      </c>
      <c r="C15" s="12">
        <v>261.58199999999999</v>
      </c>
      <c r="D15" s="14">
        <f t="shared" si="9"/>
        <v>263.72991666666667</v>
      </c>
      <c r="E15" s="13">
        <f t="shared" si="10"/>
        <v>-2.1479166666666742</v>
      </c>
      <c r="F15" s="13">
        <f>SUM(F3:F14)</f>
        <v>-344.80290624999998</v>
      </c>
      <c r="G15" s="13">
        <f t="shared" ref="G15:G26" si="11">G3</f>
        <v>-30.365294270833321</v>
      </c>
      <c r="H15" s="14">
        <f t="shared" si="1"/>
        <v>291.94729427083331</v>
      </c>
      <c r="I15" s="14">
        <f t="shared" si="2"/>
        <v>267.38609452567891</v>
      </c>
      <c r="J15" s="14">
        <f t="shared" si="3"/>
        <v>237.0208002548456</v>
      </c>
      <c r="K15" s="13">
        <f t="shared" si="4"/>
        <v>24.561199745154397</v>
      </c>
      <c r="L15" s="13">
        <f t="shared" si="7"/>
        <v>24.657241411821058</v>
      </c>
      <c r="M15" s="13">
        <f t="shared" si="8"/>
        <v>-9.604166666666103E-2</v>
      </c>
      <c r="N15" s="13">
        <f t="shared" si="5"/>
        <v>603.25253292137245</v>
      </c>
      <c r="O15" s="13">
        <f t="shared" si="6"/>
        <v>9.3894838884764228E-2</v>
      </c>
    </row>
    <row r="16" spans="1:24" x14ac:dyDescent="0.35">
      <c r="B16" s="11">
        <v>14</v>
      </c>
      <c r="C16" s="12">
        <v>263.01400000000001</v>
      </c>
      <c r="D16" s="14">
        <f t="shared" si="9"/>
        <v>264.87787500000002</v>
      </c>
      <c r="E16" s="13">
        <f t="shared" si="10"/>
        <v>-1.8638750000000073</v>
      </c>
      <c r="G16" s="13">
        <f t="shared" si="11"/>
        <v>-29.619679687499985</v>
      </c>
      <c r="H16" s="14">
        <f t="shared" si="1"/>
        <v>292.63367968749998</v>
      </c>
      <c r="I16" s="14">
        <f t="shared" si="2"/>
        <v>268.5734748384973</v>
      </c>
      <c r="J16" s="14">
        <f t="shared" si="3"/>
        <v>238.95379515099731</v>
      </c>
      <c r="K16" s="13">
        <f t="shared" si="4"/>
        <v>24.060204849002702</v>
      </c>
      <c r="L16" s="13">
        <f t="shared" si="7"/>
        <v>24.112920126780455</v>
      </c>
      <c r="M16" s="13">
        <f t="shared" si="8"/>
        <v>-5.2715277777753755E-2</v>
      </c>
      <c r="N16" s="13">
        <f t="shared" si="5"/>
        <v>578.89345737597307</v>
      </c>
      <c r="O16" s="13">
        <f t="shared" si="6"/>
        <v>9.1478799033521796E-2</v>
      </c>
      <c r="Q16" s="15" t="s">
        <v>62</v>
      </c>
      <c r="R16" s="15" t="s">
        <v>51</v>
      </c>
      <c r="S16" s="15" t="s">
        <v>63</v>
      </c>
      <c r="T16" s="15" t="s">
        <v>64</v>
      </c>
      <c r="U16" s="15" t="s">
        <v>65</v>
      </c>
      <c r="V16" s="15" t="s">
        <v>66</v>
      </c>
      <c r="W16" s="15" t="s">
        <v>67</v>
      </c>
      <c r="X16" s="15" t="s">
        <v>68</v>
      </c>
    </row>
    <row r="17" spans="1:24" x14ac:dyDescent="0.35">
      <c r="B17" s="11">
        <v>15</v>
      </c>
      <c r="C17" s="12">
        <v>264.87700000000001</v>
      </c>
      <c r="D17" s="14">
        <f t="shared" si="9"/>
        <v>266.03116666666671</v>
      </c>
      <c r="E17" s="13">
        <f t="shared" si="10"/>
        <v>-1.154166666666697</v>
      </c>
      <c r="G17" s="13">
        <f t="shared" si="11"/>
        <v>-28.60121093749996</v>
      </c>
      <c r="H17" s="14">
        <f t="shared" si="1"/>
        <v>293.47821093749997</v>
      </c>
      <c r="I17" s="14">
        <f t="shared" si="2"/>
        <v>269.7608551513157</v>
      </c>
      <c r="J17" s="14">
        <f t="shared" si="3"/>
        <v>241.15964421381574</v>
      </c>
      <c r="K17" s="13">
        <f t="shared" si="4"/>
        <v>23.717355786184271</v>
      </c>
      <c r="L17" s="13">
        <f t="shared" si="7"/>
        <v>24.000737730628725</v>
      </c>
      <c r="M17" s="13">
        <f t="shared" si="8"/>
        <v>-0.28338194444445364</v>
      </c>
      <c r="N17" s="13">
        <f t="shared" si="5"/>
        <v>562.51296548844857</v>
      </c>
      <c r="O17" s="13">
        <f t="shared" si="6"/>
        <v>8.9541016344130558E-2</v>
      </c>
      <c r="P17" s="15" t="s">
        <v>69</v>
      </c>
      <c r="Q17" s="16">
        <v>251.95015045904</v>
      </c>
      <c r="R17" s="16">
        <v>0.97713750207156802</v>
      </c>
      <c r="S17" s="16">
        <v>257.84513430801297</v>
      </c>
      <c r="T17" s="16">
        <v>1.9415472340498601E-90</v>
      </c>
      <c r="U17" s="16">
        <v>249.99419723672901</v>
      </c>
      <c r="V17" s="16">
        <v>253.90610368135</v>
      </c>
      <c r="W17" s="16">
        <v>249.99419723672901</v>
      </c>
      <c r="X17" s="16">
        <v>253.90610368135</v>
      </c>
    </row>
    <row r="18" spans="1:24" x14ac:dyDescent="0.35">
      <c r="B18" s="11">
        <v>16</v>
      </c>
      <c r="C18" s="12">
        <v>267.05399999999997</v>
      </c>
      <c r="D18" s="14">
        <f t="shared" si="9"/>
        <v>267.29079166666668</v>
      </c>
      <c r="E18" s="13">
        <f t="shared" si="10"/>
        <v>-0.23679166666670426</v>
      </c>
      <c r="G18" s="13">
        <f t="shared" si="11"/>
        <v>-28.118888020833314</v>
      </c>
      <c r="H18" s="14">
        <f t="shared" si="1"/>
        <v>295.17288802083328</v>
      </c>
      <c r="I18" s="14">
        <f t="shared" si="2"/>
        <v>270.94823546413409</v>
      </c>
      <c r="J18" s="14">
        <f t="shared" si="3"/>
        <v>242.82934744330078</v>
      </c>
      <c r="K18" s="13">
        <f t="shared" si="4"/>
        <v>24.224652556699198</v>
      </c>
      <c r="L18" s="13">
        <f t="shared" si="7"/>
        <v>24.206162973365878</v>
      </c>
      <c r="M18" s="13">
        <f t="shared" si="8"/>
        <v>1.848958333332007E-2</v>
      </c>
      <c r="N18" s="13">
        <f t="shared" si="5"/>
        <v>586.83379149279301</v>
      </c>
      <c r="O18" s="13">
        <f t="shared" si="6"/>
        <v>9.0710689810671999E-2</v>
      </c>
      <c r="P18" s="15" t="s">
        <v>70</v>
      </c>
      <c r="Q18" s="16">
        <v>1.18738031281838</v>
      </c>
      <c r="R18" s="16">
        <v>2.7859524784540901E-2</v>
      </c>
      <c r="S18" s="16">
        <v>42.620264415897203</v>
      </c>
      <c r="T18" s="16">
        <v>1.7814355685689999E-45</v>
      </c>
      <c r="U18" s="16">
        <v>1.1316134149571799</v>
      </c>
      <c r="V18" s="16">
        <v>1.24314721067957</v>
      </c>
      <c r="W18" s="16">
        <v>1.1316134149571799</v>
      </c>
      <c r="X18" s="16">
        <v>1.24314721067957</v>
      </c>
    </row>
    <row r="19" spans="1:24" x14ac:dyDescent="0.35">
      <c r="B19" s="11">
        <v>17</v>
      </c>
      <c r="C19" s="12">
        <v>269.19499999999999</v>
      </c>
      <c r="D19" s="14">
        <f t="shared" si="9"/>
        <v>268.70412500000003</v>
      </c>
      <c r="E19" s="13">
        <f t="shared" si="10"/>
        <v>0.49087499999995998</v>
      </c>
      <c r="G19" s="13">
        <f t="shared" si="11"/>
        <v>-27.617096354166652</v>
      </c>
      <c r="H19" s="14">
        <f t="shared" si="1"/>
        <v>296.81209635416667</v>
      </c>
      <c r="I19" s="14">
        <f t="shared" si="2"/>
        <v>272.13561577695248</v>
      </c>
      <c r="J19" s="14">
        <f t="shared" si="3"/>
        <v>244.51851942278583</v>
      </c>
      <c r="K19" s="13">
        <f t="shared" si="4"/>
        <v>24.676480577214164</v>
      </c>
      <c r="L19" s="13">
        <f t="shared" si="7"/>
        <v>24.713393771658605</v>
      </c>
      <c r="M19" s="13">
        <f t="shared" si="8"/>
        <v>-3.6913194444441189E-2</v>
      </c>
      <c r="N19" s="13">
        <f t="shared" si="5"/>
        <v>608.92869367762785</v>
      </c>
      <c r="O19" s="13">
        <f t="shared" si="6"/>
        <v>9.1667677992585919E-2</v>
      </c>
    </row>
    <row r="20" spans="1:24" x14ac:dyDescent="0.35">
      <c r="B20" s="11">
        <v>18</v>
      </c>
      <c r="C20" s="12">
        <v>271.69600000000003</v>
      </c>
      <c r="D20" s="14">
        <f t="shared" si="9"/>
        <v>270.20608333333331</v>
      </c>
      <c r="E20" s="13">
        <f t="shared" si="10"/>
        <v>1.4899166666667156</v>
      </c>
      <c r="G20" s="13">
        <f t="shared" si="11"/>
        <v>-26.866044270833289</v>
      </c>
      <c r="H20" s="14">
        <f t="shared" si="1"/>
        <v>298.56204427083333</v>
      </c>
      <c r="I20" s="14">
        <f t="shared" si="2"/>
        <v>273.32299608977087</v>
      </c>
      <c r="J20" s="14">
        <f t="shared" si="3"/>
        <v>246.45695181893757</v>
      </c>
      <c r="K20" s="13">
        <f t="shared" si="4"/>
        <v>25.239048181062458</v>
      </c>
      <c r="L20" s="13">
        <f t="shared" si="7"/>
        <v>25.319846792173593</v>
      </c>
      <c r="M20" s="13">
        <f t="shared" si="8"/>
        <v>-8.0798611111134733E-2</v>
      </c>
      <c r="N20" s="13">
        <f t="shared" si="5"/>
        <v>637.00955308599214</v>
      </c>
      <c r="O20" s="13">
        <f t="shared" si="6"/>
        <v>9.2894441512066633E-2</v>
      </c>
    </row>
    <row r="21" spans="1:24" x14ac:dyDescent="0.35">
      <c r="B21" s="11">
        <v>19</v>
      </c>
      <c r="C21" s="12">
        <v>273.00299999999999</v>
      </c>
      <c r="D21" s="14">
        <f t="shared" si="9"/>
        <v>271.78500000000003</v>
      </c>
      <c r="E21" s="13">
        <f t="shared" si="10"/>
        <v>1.2179999999999609</v>
      </c>
      <c r="G21" s="13">
        <f t="shared" si="11"/>
        <v>-27.551388020833361</v>
      </c>
      <c r="H21" s="14">
        <f t="shared" si="1"/>
        <v>300.55438802083336</v>
      </c>
      <c r="I21" s="14">
        <f t="shared" si="2"/>
        <v>274.5103764025892</v>
      </c>
      <c r="J21" s="14">
        <f t="shared" si="3"/>
        <v>246.95898838175583</v>
      </c>
      <c r="K21" s="13">
        <f t="shared" si="4"/>
        <v>26.044011618244156</v>
      </c>
      <c r="L21" s="13">
        <f t="shared" si="7"/>
        <v>25.704806757133014</v>
      </c>
      <c r="M21" s="13">
        <f t="shared" si="8"/>
        <v>0.33920486111114201</v>
      </c>
      <c r="N21" s="13">
        <f t="shared" si="5"/>
        <v>678.29054117123655</v>
      </c>
      <c r="O21" s="13">
        <f t="shared" si="6"/>
        <v>9.539826162439298E-2</v>
      </c>
    </row>
    <row r="22" spans="1:24" x14ac:dyDescent="0.35">
      <c r="B22" s="11">
        <v>20</v>
      </c>
      <c r="C22" s="12">
        <v>273.56700000000001</v>
      </c>
      <c r="D22" s="14">
        <f t="shared" si="9"/>
        <v>273.46283333333338</v>
      </c>
      <c r="E22" s="13">
        <f t="shared" si="10"/>
        <v>0.10416666666662877</v>
      </c>
      <c r="G22" s="13">
        <f t="shared" si="11"/>
        <v>-27.962117187500017</v>
      </c>
      <c r="H22" s="14">
        <f t="shared" si="1"/>
        <v>301.52911718750005</v>
      </c>
      <c r="I22" s="14">
        <f t="shared" si="2"/>
        <v>275.69775671540759</v>
      </c>
      <c r="J22" s="14">
        <f t="shared" si="3"/>
        <v>247.73563952790758</v>
      </c>
      <c r="K22" s="13">
        <f t="shared" si="4"/>
        <v>25.831360472092427</v>
      </c>
      <c r="L22" s="13">
        <f t="shared" si="7"/>
        <v>25.912954222092434</v>
      </c>
      <c r="M22" s="13">
        <f t="shared" si="8"/>
        <v>-8.1593750000006793E-2</v>
      </c>
      <c r="N22" s="13">
        <f t="shared" si="5"/>
        <v>667.25918383917917</v>
      </c>
      <c r="O22" s="13">
        <f t="shared" si="6"/>
        <v>9.44242561131E-2</v>
      </c>
    </row>
    <row r="23" spans="1:24" x14ac:dyDescent="0.35">
      <c r="B23" s="11">
        <v>21</v>
      </c>
      <c r="C23" s="12">
        <v>274.31</v>
      </c>
      <c r="D23" s="14">
        <f t="shared" si="9"/>
        <v>275.26820833333335</v>
      </c>
      <c r="E23" s="13">
        <f t="shared" si="10"/>
        <v>-0.95820833333334576</v>
      </c>
      <c r="G23" s="13">
        <f t="shared" si="11"/>
        <v>-28.438627604166687</v>
      </c>
      <c r="H23" s="14">
        <f t="shared" si="1"/>
        <v>302.7486276041667</v>
      </c>
      <c r="I23" s="14">
        <f t="shared" si="2"/>
        <v>276.88513702822598</v>
      </c>
      <c r="J23" s="14">
        <f t="shared" si="3"/>
        <v>248.44650942405929</v>
      </c>
      <c r="K23" s="13">
        <f t="shared" si="4"/>
        <v>25.863490575940716</v>
      </c>
      <c r="L23" s="13">
        <f t="shared" si="7"/>
        <v>26.313959325940704</v>
      </c>
      <c r="M23" s="13">
        <f t="shared" si="8"/>
        <v>-0.4504687499999882</v>
      </c>
      <c r="N23" s="13">
        <f t="shared" si="5"/>
        <v>668.92014477177429</v>
      </c>
      <c r="O23" s="13">
        <f t="shared" si="6"/>
        <v>9.4285627851484505E-2</v>
      </c>
    </row>
    <row r="24" spans="1:24" x14ac:dyDescent="0.35">
      <c r="B24" s="11">
        <v>22</v>
      </c>
      <c r="C24" s="12">
        <v>276.589</v>
      </c>
      <c r="D24" s="14">
        <f t="shared" si="9"/>
        <v>277.12995833333338</v>
      </c>
      <c r="E24" s="13">
        <f t="shared" si="10"/>
        <v>-0.5409583333333785</v>
      </c>
      <c r="G24" s="13">
        <f t="shared" si="11"/>
        <v>-28.730544270833352</v>
      </c>
      <c r="H24" s="14">
        <f t="shared" si="1"/>
        <v>305.31954427083338</v>
      </c>
      <c r="I24" s="14">
        <f t="shared" si="2"/>
        <v>278.07251734104437</v>
      </c>
      <c r="J24" s="14">
        <f t="shared" si="3"/>
        <v>249.34197307021103</v>
      </c>
      <c r="K24" s="13">
        <f t="shared" si="4"/>
        <v>27.247026929788973</v>
      </c>
      <c r="L24" s="13">
        <f t="shared" si="7"/>
        <v>27.218533874233412</v>
      </c>
      <c r="M24" s="13">
        <f t="shared" si="8"/>
        <v>2.8493055555561142E-2</v>
      </c>
      <c r="N24" s="13">
        <f t="shared" si="5"/>
        <v>742.40047651264547</v>
      </c>
      <c r="O24" s="13">
        <f t="shared" si="6"/>
        <v>9.8510884126949999E-2</v>
      </c>
    </row>
    <row r="25" spans="1:24" x14ac:dyDescent="0.35">
      <c r="B25" s="11">
        <v>23</v>
      </c>
      <c r="C25" s="12">
        <v>277.94799999999998</v>
      </c>
      <c r="D25" s="14">
        <f t="shared" si="9"/>
        <v>279.01145833333334</v>
      </c>
      <c r="E25" s="13">
        <f t="shared" si="10"/>
        <v>-1.063458333333358</v>
      </c>
      <c r="G25" s="13">
        <f t="shared" si="11"/>
        <v>-29.856981770833332</v>
      </c>
      <c r="H25" s="14">
        <f t="shared" si="1"/>
        <v>307.80498177083331</v>
      </c>
      <c r="I25" s="14">
        <f t="shared" si="2"/>
        <v>279.25989765386277</v>
      </c>
      <c r="J25" s="14">
        <f t="shared" si="3"/>
        <v>249.40291588302944</v>
      </c>
      <c r="K25" s="13">
        <f t="shared" si="4"/>
        <v>28.545084116970543</v>
      </c>
      <c r="L25" s="13">
        <f t="shared" si="7"/>
        <v>28.407288978081699</v>
      </c>
      <c r="M25" s="13">
        <f t="shared" si="8"/>
        <v>0.13779513888884409</v>
      </c>
      <c r="N25" s="13">
        <f t="shared" si="5"/>
        <v>814.82182724492395</v>
      </c>
      <c r="O25" s="13">
        <f t="shared" si="6"/>
        <v>0.10269936864798647</v>
      </c>
    </row>
    <row r="26" spans="1:24" x14ac:dyDescent="0.35">
      <c r="B26" s="11">
        <v>24</v>
      </c>
      <c r="C26" s="12">
        <v>278.80200000000002</v>
      </c>
      <c r="D26" s="14">
        <f t="shared" si="9"/>
        <v>280.99962499999998</v>
      </c>
      <c r="E26" s="13">
        <f t="shared" si="10"/>
        <v>-2.1976249999999595</v>
      </c>
      <c r="G26" s="13">
        <f t="shared" si="11"/>
        <v>-31.075033854166666</v>
      </c>
      <c r="H26" s="14">
        <f t="shared" si="1"/>
        <v>309.87703385416671</v>
      </c>
      <c r="I26" s="14">
        <f t="shared" si="2"/>
        <v>280.4472779666811</v>
      </c>
      <c r="J26" s="14">
        <f t="shared" si="3"/>
        <v>249.37224411251444</v>
      </c>
      <c r="K26" s="13">
        <f t="shared" si="4"/>
        <v>29.429755887485584</v>
      </c>
      <c r="L26" s="13">
        <f t="shared" si="7"/>
        <v>29.284491998596661</v>
      </c>
      <c r="M26" s="13">
        <f t="shared" si="8"/>
        <v>0.14526388888892328</v>
      </c>
      <c r="N26" s="13">
        <f t="shared" si="5"/>
        <v>866.11053159699236</v>
      </c>
      <c r="O26" s="13">
        <f t="shared" si="6"/>
        <v>0.1055579080762892</v>
      </c>
    </row>
    <row r="27" spans="1:24" x14ac:dyDescent="0.35">
      <c r="A27" s="11">
        <v>3</v>
      </c>
      <c r="B27" s="11">
        <v>25</v>
      </c>
      <c r="C27" s="12">
        <v>281.14800000000002</v>
      </c>
      <c r="D27" s="14">
        <f t="shared" si="9"/>
        <v>282.99495833333333</v>
      </c>
      <c r="E27" s="13">
        <f t="shared" si="10"/>
        <v>-1.8469583333333048</v>
      </c>
      <c r="G27" s="13">
        <f t="shared" ref="G27:G38" si="12">G3</f>
        <v>-30.365294270833321</v>
      </c>
      <c r="H27" s="14">
        <f t="shared" si="1"/>
        <v>311.51329427083334</v>
      </c>
      <c r="I27" s="14">
        <f t="shared" si="2"/>
        <v>281.63465827949949</v>
      </c>
      <c r="J27" s="14">
        <f t="shared" si="3"/>
        <v>251.26936400866617</v>
      </c>
      <c r="K27" s="13">
        <f t="shared" si="4"/>
        <v>29.878635991333852</v>
      </c>
      <c r="L27" s="13">
        <f t="shared" si="7"/>
        <v>29.940677658000521</v>
      </c>
      <c r="M27" s="13">
        <f t="shared" si="8"/>
        <v>-6.2041666666669215E-2</v>
      </c>
      <c r="N27" s="13">
        <f t="shared" si="5"/>
        <v>892.73288870263059</v>
      </c>
      <c r="O27" s="13">
        <f t="shared" si="6"/>
        <v>0.10627369211708371</v>
      </c>
    </row>
    <row r="28" spans="1:24" x14ac:dyDescent="0.35">
      <c r="B28" s="11">
        <v>26</v>
      </c>
      <c r="C28" s="12">
        <v>283.71600000000001</v>
      </c>
      <c r="D28" s="14">
        <f t="shared" si="9"/>
        <v>284.90649999999999</v>
      </c>
      <c r="E28" s="13">
        <f t="shared" si="10"/>
        <v>-1.1904999999999859</v>
      </c>
      <c r="G28" s="13">
        <f t="shared" si="12"/>
        <v>-29.619679687499985</v>
      </c>
      <c r="H28" s="14">
        <f t="shared" si="1"/>
        <v>313.33567968749998</v>
      </c>
      <c r="I28" s="14">
        <f t="shared" si="2"/>
        <v>282.82203859231788</v>
      </c>
      <c r="J28" s="14">
        <f t="shared" si="3"/>
        <v>253.20235890481788</v>
      </c>
      <c r="K28" s="13">
        <f t="shared" si="4"/>
        <v>30.513641095182123</v>
      </c>
      <c r="L28" s="13">
        <f t="shared" si="7"/>
        <v>30.829356372959893</v>
      </c>
      <c r="M28" s="13">
        <f t="shared" si="8"/>
        <v>-0.31571527777776964</v>
      </c>
      <c r="N28" s="13">
        <f t="shared" si="5"/>
        <v>931.08229288558732</v>
      </c>
      <c r="O28" s="13">
        <f t="shared" si="6"/>
        <v>0.10754994817064291</v>
      </c>
    </row>
    <row r="29" spans="1:24" x14ac:dyDescent="0.35">
      <c r="B29" s="11">
        <v>27</v>
      </c>
      <c r="C29" s="12">
        <v>287.50400000000002</v>
      </c>
      <c r="D29" s="14">
        <f t="shared" si="9"/>
        <v>286.78574999999995</v>
      </c>
      <c r="E29" s="13">
        <f t="shared" si="10"/>
        <v>0.71825000000006867</v>
      </c>
      <c r="G29" s="13">
        <f t="shared" si="12"/>
        <v>-28.60121093749996</v>
      </c>
      <c r="H29" s="14">
        <f t="shared" si="1"/>
        <v>316.10521093749998</v>
      </c>
      <c r="I29" s="14">
        <f t="shared" si="2"/>
        <v>284.00941890513627</v>
      </c>
      <c r="J29" s="14">
        <f t="shared" si="3"/>
        <v>255.40820796763632</v>
      </c>
      <c r="K29" s="13">
        <f t="shared" si="4"/>
        <v>32.095792032363704</v>
      </c>
      <c r="L29" s="13">
        <f t="shared" si="7"/>
        <v>31.54684064347482</v>
      </c>
      <c r="M29" s="13">
        <f t="shared" si="8"/>
        <v>0.5489513888888844</v>
      </c>
      <c r="N29" s="13">
        <f t="shared" si="5"/>
        <v>1030.1398661847413</v>
      </c>
      <c r="O29" s="13">
        <f t="shared" si="6"/>
        <v>0.11163598430757034</v>
      </c>
    </row>
    <row r="30" spans="1:24" x14ac:dyDescent="0.35">
      <c r="B30" s="11">
        <v>28</v>
      </c>
      <c r="C30" s="12">
        <v>289.10899999999998</v>
      </c>
      <c r="D30" s="14">
        <f t="shared" si="9"/>
        <v>288.61579166666661</v>
      </c>
      <c r="E30" s="13">
        <f t="shared" si="10"/>
        <v>0.49320833333337077</v>
      </c>
      <c r="G30" s="13">
        <f t="shared" si="12"/>
        <v>-28.118888020833314</v>
      </c>
      <c r="H30" s="14">
        <f t="shared" si="1"/>
        <v>317.22788802083329</v>
      </c>
      <c r="I30" s="14">
        <f t="shared" si="2"/>
        <v>285.19679921795466</v>
      </c>
      <c r="J30" s="14">
        <f t="shared" si="3"/>
        <v>257.07791119712135</v>
      </c>
      <c r="K30" s="13">
        <f t="shared" si="4"/>
        <v>32.031088802878628</v>
      </c>
      <c r="L30" s="13">
        <f t="shared" si="7"/>
        <v>32.551932552878647</v>
      </c>
      <c r="M30" s="13">
        <f t="shared" si="8"/>
        <v>-0.5208437500000187</v>
      </c>
      <c r="N30" s="13">
        <f t="shared" si="5"/>
        <v>1025.9906498978967</v>
      </c>
      <c r="O30" s="13">
        <f t="shared" si="6"/>
        <v>0.11079243054653654</v>
      </c>
    </row>
    <row r="31" spans="1:24" x14ac:dyDescent="0.35">
      <c r="B31" s="11">
        <v>29</v>
      </c>
      <c r="C31" s="12">
        <v>292.29599999999999</v>
      </c>
      <c r="D31" s="14">
        <f t="shared" si="9"/>
        <v>290.33187500000003</v>
      </c>
      <c r="E31" s="13">
        <f t="shared" si="10"/>
        <v>1.9641249999999673</v>
      </c>
      <c r="G31" s="13">
        <f t="shared" si="12"/>
        <v>-27.617096354166652</v>
      </c>
      <c r="H31" s="14">
        <f t="shared" si="1"/>
        <v>319.91309635416667</v>
      </c>
      <c r="I31" s="14">
        <f t="shared" si="2"/>
        <v>286.38417953077305</v>
      </c>
      <c r="J31" s="14">
        <f t="shared" si="3"/>
        <v>258.76708317660638</v>
      </c>
      <c r="K31" s="13">
        <f t="shared" si="4"/>
        <v>33.528916823393615</v>
      </c>
      <c r="L31" s="13">
        <f t="shared" si="7"/>
        <v>33.721830017838045</v>
      </c>
      <c r="M31" s="13">
        <f t="shared" si="8"/>
        <v>-0.19291319444442934</v>
      </c>
      <c r="N31" s="13">
        <f t="shared" si="5"/>
        <v>1124.1882633500475</v>
      </c>
      <c r="O31" s="13">
        <f t="shared" si="6"/>
        <v>0.11470877748376172</v>
      </c>
    </row>
    <row r="32" spans="1:24" x14ac:dyDescent="0.35">
      <c r="B32" s="11">
        <v>30</v>
      </c>
      <c r="C32" s="12">
        <v>296.31099999999998</v>
      </c>
      <c r="D32" s="14">
        <f t="shared" si="9"/>
        <v>291.905125</v>
      </c>
      <c r="E32" s="13">
        <f t="shared" si="10"/>
        <v>4.4058749999999804</v>
      </c>
      <c r="G32" s="13">
        <f t="shared" si="12"/>
        <v>-26.866044270833289</v>
      </c>
      <c r="H32" s="14">
        <f t="shared" si="1"/>
        <v>323.17704427083328</v>
      </c>
      <c r="I32" s="14">
        <f t="shared" si="2"/>
        <v>287.57155984359139</v>
      </c>
      <c r="J32" s="14">
        <f t="shared" si="3"/>
        <v>260.70551557275809</v>
      </c>
      <c r="K32" s="13">
        <f t="shared" si="4"/>
        <v>35.60548442724189</v>
      </c>
      <c r="L32" s="13">
        <f t="shared" si="7"/>
        <v>34.734283038353034</v>
      </c>
      <c r="M32" s="13">
        <f t="shared" si="8"/>
        <v>0.87120138888885634</v>
      </c>
      <c r="N32" s="13">
        <f t="shared" si="5"/>
        <v>1267.7505212985648</v>
      </c>
      <c r="O32" s="13">
        <f t="shared" si="6"/>
        <v>0.12016254687555269</v>
      </c>
    </row>
    <row r="33" spans="1:15" x14ac:dyDescent="0.35">
      <c r="B33" s="11">
        <v>31</v>
      </c>
      <c r="C33" s="12">
        <v>296.27600000000001</v>
      </c>
      <c r="D33" s="14">
        <f t="shared" si="9"/>
        <v>293.40583333333336</v>
      </c>
      <c r="E33" s="13">
        <f t="shared" si="10"/>
        <v>2.8701666666666483</v>
      </c>
      <c r="G33" s="13">
        <f t="shared" si="12"/>
        <v>-27.551388020833361</v>
      </c>
      <c r="H33" s="14">
        <f t="shared" si="1"/>
        <v>323.82738802083338</v>
      </c>
      <c r="I33" s="14">
        <f t="shared" si="2"/>
        <v>288.75894015640978</v>
      </c>
      <c r="J33" s="14">
        <f t="shared" si="3"/>
        <v>261.20755213557641</v>
      </c>
      <c r="K33" s="13">
        <f t="shared" si="4"/>
        <v>35.068447864423604</v>
      </c>
      <c r="L33" s="13">
        <f t="shared" si="7"/>
        <v>34.953576336645789</v>
      </c>
      <c r="M33" s="13">
        <f t="shared" si="8"/>
        <v>0.11487152777781517</v>
      </c>
      <c r="N33" s="13">
        <f t="shared" si="5"/>
        <v>1229.7960356197964</v>
      </c>
      <c r="O33" s="13">
        <f t="shared" si="6"/>
        <v>0.11836411948461435</v>
      </c>
    </row>
    <row r="34" spans="1:15" x14ac:dyDescent="0.35">
      <c r="B34" s="11">
        <v>32</v>
      </c>
      <c r="C34" s="12">
        <v>296.17099999999999</v>
      </c>
      <c r="D34" s="14">
        <f t="shared" si="9"/>
        <v>294.87025000000006</v>
      </c>
      <c r="E34" s="13">
        <f t="shared" si="10"/>
        <v>1.3007499999999368</v>
      </c>
      <c r="G34" s="13">
        <f t="shared" si="12"/>
        <v>-27.962117187500017</v>
      </c>
      <c r="H34" s="14">
        <f t="shared" si="1"/>
        <v>324.13311718750003</v>
      </c>
      <c r="I34" s="14">
        <f t="shared" si="2"/>
        <v>289.94632046922817</v>
      </c>
      <c r="J34" s="14">
        <f t="shared" si="3"/>
        <v>261.98420328172813</v>
      </c>
      <c r="K34" s="13">
        <f t="shared" si="4"/>
        <v>34.186796718271864</v>
      </c>
      <c r="L34" s="13">
        <f t="shared" si="7"/>
        <v>34.456057134938533</v>
      </c>
      <c r="M34" s="13">
        <f t="shared" si="8"/>
        <v>-0.26926041666666833</v>
      </c>
      <c r="N34" s="13">
        <f t="shared" si="5"/>
        <v>1168.7370698564439</v>
      </c>
      <c r="O34" s="13">
        <f t="shared" si="6"/>
        <v>0.11542925106871323</v>
      </c>
    </row>
    <row r="35" spans="1:15" x14ac:dyDescent="0.35">
      <c r="B35" s="11">
        <v>33</v>
      </c>
      <c r="C35" s="12">
        <v>296.80799999999999</v>
      </c>
      <c r="D35" s="14">
        <f t="shared" si="9"/>
        <v>296.18091666666669</v>
      </c>
      <c r="E35" s="13">
        <f t="shared" si="10"/>
        <v>0.62708333333330302</v>
      </c>
      <c r="G35" s="13">
        <f t="shared" si="12"/>
        <v>-28.438627604166687</v>
      </c>
      <c r="H35" s="14">
        <f t="shared" ref="H35:H66" si="13">C35-G35</f>
        <v>325.24662760416669</v>
      </c>
      <c r="I35" s="14">
        <f t="shared" ref="I35:I66" si="14">(Q$17+Q$18*B35)</f>
        <v>291.13370078204656</v>
      </c>
      <c r="J35" s="14">
        <f t="shared" ref="J35:J66" si="15">I35+G35</f>
        <v>262.69507317787986</v>
      </c>
      <c r="K35" s="13">
        <f t="shared" ref="K35:K66" si="16">C35-J35</f>
        <v>34.11292682212013</v>
      </c>
      <c r="L35" s="13">
        <f t="shared" si="7"/>
        <v>34.240395572120157</v>
      </c>
      <c r="M35" s="13">
        <f t="shared" si="8"/>
        <v>-0.12746875000002689</v>
      </c>
      <c r="N35" s="13">
        <f t="shared" ref="N35:N62" si="17">(C35-J35)^2</f>
        <v>1163.6917763713229</v>
      </c>
      <c r="O35" s="13">
        <f t="shared" ref="O35:O62" si="18">ABS(C35-J35)/C35</f>
        <v>0.11493263935648679</v>
      </c>
    </row>
    <row r="36" spans="1:15" x14ac:dyDescent="0.35">
      <c r="B36" s="11">
        <v>34</v>
      </c>
      <c r="C36" s="12">
        <v>298.012</v>
      </c>
      <c r="D36" s="14">
        <f t="shared" si="9"/>
        <v>297.37200000000001</v>
      </c>
      <c r="E36" s="13">
        <f t="shared" si="10"/>
        <v>0.63999999999998636</v>
      </c>
      <c r="G36" s="13">
        <f t="shared" si="12"/>
        <v>-28.730544270833352</v>
      </c>
      <c r="H36" s="14">
        <f t="shared" si="13"/>
        <v>326.74254427083338</v>
      </c>
      <c r="I36" s="14">
        <f t="shared" si="14"/>
        <v>292.32108109486489</v>
      </c>
      <c r="J36" s="14">
        <f t="shared" si="15"/>
        <v>263.59053682403152</v>
      </c>
      <c r="K36" s="13">
        <f t="shared" si="16"/>
        <v>34.421463175968483</v>
      </c>
      <c r="L36" s="13">
        <f t="shared" ref="L36:L61" si="19">AVERAGE(K35:K37)</f>
        <v>34.19797012041289</v>
      </c>
      <c r="M36" s="13">
        <f t="shared" ref="M36:M67" si="20">K36-L36</f>
        <v>0.2234930555555934</v>
      </c>
      <c r="N36" s="13">
        <f t="shared" si="17"/>
        <v>1184.8371271745543</v>
      </c>
      <c r="O36" s="13">
        <f t="shared" si="18"/>
        <v>0.11550361453890609</v>
      </c>
    </row>
    <row r="37" spans="1:15" x14ac:dyDescent="0.35">
      <c r="B37" s="11">
        <v>35</v>
      </c>
      <c r="C37" s="12">
        <v>297.71100000000001</v>
      </c>
      <c r="D37" s="14">
        <f t="shared" si="9"/>
        <v>298.45887499999998</v>
      </c>
      <c r="E37" s="13">
        <f t="shared" si="10"/>
        <v>-0.74787499999996498</v>
      </c>
      <c r="G37" s="13">
        <f t="shared" si="12"/>
        <v>-29.856981770833332</v>
      </c>
      <c r="H37" s="14">
        <f t="shared" si="13"/>
        <v>327.56798177083334</v>
      </c>
      <c r="I37" s="14">
        <f t="shared" si="14"/>
        <v>293.50846140768328</v>
      </c>
      <c r="J37" s="14">
        <f t="shared" si="15"/>
        <v>263.65147963684996</v>
      </c>
      <c r="K37" s="13">
        <f t="shared" si="16"/>
        <v>34.059520363150057</v>
      </c>
      <c r="L37" s="13">
        <f t="shared" si="19"/>
        <v>33.885725224261193</v>
      </c>
      <c r="M37" s="13">
        <f t="shared" si="20"/>
        <v>0.17379513888886322</v>
      </c>
      <c r="N37" s="13">
        <f t="shared" si="17"/>
        <v>1160.0509273678333</v>
      </c>
      <c r="O37" s="13">
        <f t="shared" si="18"/>
        <v>0.1144046419620036</v>
      </c>
    </row>
    <row r="38" spans="1:15" x14ac:dyDescent="0.35">
      <c r="B38" s="11">
        <v>36</v>
      </c>
      <c r="C38" s="12">
        <v>296.79700000000003</v>
      </c>
      <c r="D38" s="14">
        <f t="shared" si="9"/>
        <v>299.31841666666668</v>
      </c>
      <c r="E38" s="13">
        <f t="shared" si="10"/>
        <v>-2.5214166666666529</v>
      </c>
      <c r="G38" s="13">
        <f t="shared" si="12"/>
        <v>-31.075033854166666</v>
      </c>
      <c r="H38" s="14">
        <f t="shared" si="13"/>
        <v>327.87203385416672</v>
      </c>
      <c r="I38" s="14">
        <f t="shared" si="14"/>
        <v>294.69584172050168</v>
      </c>
      <c r="J38" s="14">
        <f t="shared" si="15"/>
        <v>263.62080786633499</v>
      </c>
      <c r="K38" s="13">
        <f t="shared" si="16"/>
        <v>33.17619213366504</v>
      </c>
      <c r="L38" s="13">
        <f t="shared" si="19"/>
        <v>33.629261578109457</v>
      </c>
      <c r="M38" s="13">
        <f t="shared" si="20"/>
        <v>-0.45306944444441655</v>
      </c>
      <c r="N38" s="13">
        <f t="shared" si="17"/>
        <v>1100.659724489858</v>
      </c>
      <c r="O38" s="13">
        <f t="shared" si="18"/>
        <v>0.11178075295122605</v>
      </c>
    </row>
    <row r="39" spans="1:15" x14ac:dyDescent="0.35">
      <c r="A39" s="11">
        <v>4</v>
      </c>
      <c r="B39" s="11">
        <v>37</v>
      </c>
      <c r="C39" s="12">
        <v>299.17</v>
      </c>
      <c r="D39" s="14">
        <f t="shared" si="9"/>
        <v>300.07729166666667</v>
      </c>
      <c r="E39" s="13">
        <f t="shared" si="10"/>
        <v>-0.90729166666665151</v>
      </c>
      <c r="G39" s="13">
        <f t="shared" ref="G39:G50" si="21">G3</f>
        <v>-30.365294270833321</v>
      </c>
      <c r="H39" s="14">
        <f t="shared" si="13"/>
        <v>329.53529427083333</v>
      </c>
      <c r="I39" s="14">
        <f t="shared" si="14"/>
        <v>295.88322203332007</v>
      </c>
      <c r="J39" s="14">
        <f t="shared" si="15"/>
        <v>265.51792776248675</v>
      </c>
      <c r="K39" s="13">
        <f t="shared" si="16"/>
        <v>33.652072237513266</v>
      </c>
      <c r="L39" s="13">
        <f t="shared" si="19"/>
        <v>33.405780570846595</v>
      </c>
      <c r="M39" s="13">
        <f t="shared" si="20"/>
        <v>0.24629166666667146</v>
      </c>
      <c r="N39" s="13">
        <f t="shared" si="17"/>
        <v>1132.461965878811</v>
      </c>
      <c r="O39" s="13">
        <f t="shared" si="18"/>
        <v>0.11248478202197167</v>
      </c>
    </row>
    <row r="40" spans="1:15" x14ac:dyDescent="0.35">
      <c r="B40" s="11">
        <v>38</v>
      </c>
      <c r="C40" s="12">
        <v>300.83999999999997</v>
      </c>
      <c r="D40" s="14">
        <f t="shared" si="9"/>
        <v>300.92187499999994</v>
      </c>
      <c r="E40" s="13">
        <f t="shared" si="10"/>
        <v>-8.1874999999968168E-2</v>
      </c>
      <c r="G40" s="13">
        <f t="shared" si="21"/>
        <v>-29.619679687499985</v>
      </c>
      <c r="H40" s="14">
        <f t="shared" si="13"/>
        <v>330.45967968749994</v>
      </c>
      <c r="I40" s="14">
        <f t="shared" si="14"/>
        <v>297.07060234613846</v>
      </c>
      <c r="J40" s="14">
        <f t="shared" si="15"/>
        <v>267.45092265863849</v>
      </c>
      <c r="K40" s="13">
        <f t="shared" si="16"/>
        <v>33.389077341361485</v>
      </c>
      <c r="L40" s="13">
        <f t="shared" si="19"/>
        <v>33.07345928580596</v>
      </c>
      <c r="M40" s="13">
        <f t="shared" si="20"/>
        <v>0.31561805555552525</v>
      </c>
      <c r="N40" s="13">
        <f t="shared" si="17"/>
        <v>1114.830485707419</v>
      </c>
      <c r="O40" s="13">
        <f t="shared" si="18"/>
        <v>0.11098616321420518</v>
      </c>
    </row>
    <row r="41" spans="1:15" x14ac:dyDescent="0.35">
      <c r="B41" s="11">
        <v>39</v>
      </c>
      <c r="C41" s="12">
        <v>301.83600000000001</v>
      </c>
      <c r="D41" s="14">
        <f t="shared" si="9"/>
        <v>301.83170833333327</v>
      </c>
      <c r="E41" s="13">
        <f t="shared" si="10"/>
        <v>4.2916666667451864E-3</v>
      </c>
      <c r="G41" s="13">
        <f t="shared" si="21"/>
        <v>-28.60121093749996</v>
      </c>
      <c r="H41" s="14">
        <f t="shared" si="13"/>
        <v>330.43721093749997</v>
      </c>
      <c r="I41" s="14">
        <f t="shared" si="14"/>
        <v>298.25798265895685</v>
      </c>
      <c r="J41" s="14">
        <f t="shared" si="15"/>
        <v>269.65677172145689</v>
      </c>
      <c r="K41" s="13">
        <f t="shared" si="16"/>
        <v>32.179228278543121</v>
      </c>
      <c r="L41" s="13">
        <f t="shared" si="19"/>
        <v>32.534943556320911</v>
      </c>
      <c r="M41" s="13">
        <f t="shared" si="20"/>
        <v>-0.35571527777779011</v>
      </c>
      <c r="N41" s="13">
        <f t="shared" si="17"/>
        <v>1035.5027326025893</v>
      </c>
      <c r="O41" s="13">
        <f t="shared" si="18"/>
        <v>0.10661163107960323</v>
      </c>
    </row>
    <row r="42" spans="1:15" x14ac:dyDescent="0.35">
      <c r="B42" s="11">
        <v>40</v>
      </c>
      <c r="C42" s="12">
        <v>303.363</v>
      </c>
      <c r="D42" s="14">
        <f t="shared" si="9"/>
        <v>302.69170833333328</v>
      </c>
      <c r="E42" s="13">
        <f t="shared" si="10"/>
        <v>0.67129166666671836</v>
      </c>
      <c r="G42" s="13">
        <f t="shared" si="21"/>
        <v>-28.118888020833314</v>
      </c>
      <c r="H42" s="14">
        <f t="shared" si="13"/>
        <v>331.48188802083331</v>
      </c>
      <c r="I42" s="14">
        <f t="shared" si="14"/>
        <v>299.44536297177518</v>
      </c>
      <c r="J42" s="14">
        <f t="shared" si="15"/>
        <v>271.32647495094187</v>
      </c>
      <c r="K42" s="13">
        <f t="shared" si="16"/>
        <v>32.036525049058127</v>
      </c>
      <c r="L42" s="13">
        <f t="shared" si="19"/>
        <v>31.775702132391455</v>
      </c>
      <c r="M42" s="13">
        <f t="shared" si="20"/>
        <v>0.26082291666667246</v>
      </c>
      <c r="N42" s="13">
        <f t="shared" si="17"/>
        <v>1026.3389372189288</v>
      </c>
      <c r="O42" s="13">
        <f t="shared" si="18"/>
        <v>0.10560458938320799</v>
      </c>
    </row>
    <row r="43" spans="1:15" x14ac:dyDescent="0.35">
      <c r="B43" s="11">
        <v>41</v>
      </c>
      <c r="C43" s="12">
        <v>304.12700000000001</v>
      </c>
      <c r="D43" s="14">
        <f t="shared" si="9"/>
        <v>303.48333333333329</v>
      </c>
      <c r="E43" s="13">
        <f t="shared" si="10"/>
        <v>0.6436666666667179</v>
      </c>
      <c r="G43" s="13">
        <f t="shared" si="21"/>
        <v>-27.617096354166652</v>
      </c>
      <c r="H43" s="14">
        <f t="shared" si="13"/>
        <v>331.74409635416669</v>
      </c>
      <c r="I43" s="14">
        <f t="shared" si="14"/>
        <v>300.63274328459357</v>
      </c>
      <c r="J43" s="14">
        <f t="shared" si="15"/>
        <v>273.0156469304269</v>
      </c>
      <c r="K43" s="13">
        <f t="shared" si="16"/>
        <v>31.111353069573113</v>
      </c>
      <c r="L43" s="13">
        <f t="shared" si="19"/>
        <v>31.100932930684184</v>
      </c>
      <c r="M43" s="13">
        <f t="shared" si="20"/>
        <v>1.0420138888928676E-2</v>
      </c>
      <c r="N43" s="13">
        <f t="shared" si="17"/>
        <v>967.9162898196364</v>
      </c>
      <c r="O43" s="13">
        <f t="shared" si="18"/>
        <v>0.10229724118402217</v>
      </c>
    </row>
    <row r="44" spans="1:15" x14ac:dyDescent="0.35">
      <c r="B44" s="11">
        <v>42</v>
      </c>
      <c r="C44" s="12">
        <v>305.10899999999998</v>
      </c>
      <c r="D44" s="14">
        <f t="shared" si="9"/>
        <v>304.2870416666666</v>
      </c>
      <c r="E44" s="13">
        <f t="shared" si="10"/>
        <v>0.82195833333338442</v>
      </c>
      <c r="G44" s="13">
        <f t="shared" si="21"/>
        <v>-26.866044270833289</v>
      </c>
      <c r="H44" s="14">
        <f t="shared" si="13"/>
        <v>331.97504427083328</v>
      </c>
      <c r="I44" s="14">
        <f t="shared" si="14"/>
        <v>301.82012359741196</v>
      </c>
      <c r="J44" s="14">
        <f t="shared" si="15"/>
        <v>274.95407932657866</v>
      </c>
      <c r="K44" s="13">
        <f t="shared" si="16"/>
        <v>30.154920673421316</v>
      </c>
      <c r="L44" s="13">
        <f t="shared" si="19"/>
        <v>30.500385951199139</v>
      </c>
      <c r="M44" s="13">
        <f t="shared" si="20"/>
        <v>-0.34546527777782288</v>
      </c>
      <c r="N44" s="13">
        <f t="shared" si="17"/>
        <v>909.31924082033231</v>
      </c>
      <c r="O44" s="13">
        <f t="shared" si="18"/>
        <v>9.8833271628897601E-2</v>
      </c>
    </row>
    <row r="45" spans="1:15" x14ac:dyDescent="0.35">
      <c r="B45" s="11">
        <v>43</v>
      </c>
      <c r="C45" s="12">
        <v>305.69099999999997</v>
      </c>
      <c r="D45" s="14">
        <f t="shared" si="9"/>
        <v>305.08687500000002</v>
      </c>
      <c r="E45" s="13">
        <f t="shared" si="10"/>
        <v>0.60412499999995362</v>
      </c>
      <c r="G45" s="13">
        <f t="shared" si="21"/>
        <v>-27.551388020833361</v>
      </c>
      <c r="H45" s="14">
        <f t="shared" si="13"/>
        <v>333.24238802083335</v>
      </c>
      <c r="I45" s="14">
        <f t="shared" si="14"/>
        <v>303.00750391023035</v>
      </c>
      <c r="J45" s="14">
        <f t="shared" si="15"/>
        <v>275.45611588939698</v>
      </c>
      <c r="K45" s="13">
        <f t="shared" si="16"/>
        <v>30.234884110602991</v>
      </c>
      <c r="L45" s="13">
        <f t="shared" si="19"/>
        <v>30.394345916158539</v>
      </c>
      <c r="M45" s="13">
        <f t="shared" si="20"/>
        <v>-0.1594618055555479</v>
      </c>
      <c r="N45" s="13">
        <f t="shared" si="17"/>
        <v>914.14821718159317</v>
      </c>
      <c r="O45" s="13">
        <f t="shared" si="18"/>
        <v>9.8906687179547301E-2</v>
      </c>
    </row>
    <row r="46" spans="1:15" x14ac:dyDescent="0.35">
      <c r="B46" s="11">
        <v>44</v>
      </c>
      <c r="C46" s="12">
        <v>307.02600000000001</v>
      </c>
      <c r="D46" s="14">
        <f t="shared" si="9"/>
        <v>305.86741666666666</v>
      </c>
      <c r="E46" s="13">
        <f t="shared" si="10"/>
        <v>1.1585833333333539</v>
      </c>
      <c r="G46" s="13">
        <f t="shared" si="21"/>
        <v>-27.962117187500017</v>
      </c>
      <c r="H46" s="14">
        <f t="shared" si="13"/>
        <v>334.98811718750005</v>
      </c>
      <c r="I46" s="14">
        <f t="shared" si="14"/>
        <v>304.19488422304875</v>
      </c>
      <c r="J46" s="14">
        <f t="shared" si="15"/>
        <v>276.2327670355487</v>
      </c>
      <c r="K46" s="13">
        <f t="shared" si="16"/>
        <v>30.793232964451306</v>
      </c>
      <c r="L46" s="13">
        <f t="shared" si="19"/>
        <v>30.624493381117968</v>
      </c>
      <c r="M46" s="13">
        <f t="shared" si="20"/>
        <v>0.16873958333333761</v>
      </c>
      <c r="N46" s="13">
        <f t="shared" si="17"/>
        <v>948.22319640297053</v>
      </c>
      <c r="O46" s="13">
        <f t="shared" si="18"/>
        <v>0.10029519638223247</v>
      </c>
    </row>
    <row r="47" spans="1:15" x14ac:dyDescent="0.35">
      <c r="B47" s="11">
        <v>45</v>
      </c>
      <c r="C47" s="12">
        <v>307.78899999999999</v>
      </c>
      <c r="D47" s="14">
        <f t="shared" si="9"/>
        <v>306.7</v>
      </c>
      <c r="E47" s="13">
        <f t="shared" si="10"/>
        <v>1.0889999999999986</v>
      </c>
      <c r="G47" s="13">
        <f t="shared" si="21"/>
        <v>-28.438627604166687</v>
      </c>
      <c r="H47" s="14">
        <f t="shared" si="13"/>
        <v>336.22762760416668</v>
      </c>
      <c r="I47" s="14">
        <f t="shared" si="14"/>
        <v>305.38226453586708</v>
      </c>
      <c r="J47" s="14">
        <f t="shared" si="15"/>
        <v>276.94363693170038</v>
      </c>
      <c r="K47" s="13">
        <f t="shared" si="16"/>
        <v>30.845363068299605</v>
      </c>
      <c r="L47" s="13">
        <f t="shared" si="19"/>
        <v>30.490165151632937</v>
      </c>
      <c r="M47" s="13">
        <f t="shared" si="20"/>
        <v>0.35519791666666833</v>
      </c>
      <c r="N47" s="13">
        <f t="shared" si="17"/>
        <v>951.43642281522125</v>
      </c>
      <c r="O47" s="13">
        <f t="shared" si="18"/>
        <v>0.10021593711373573</v>
      </c>
    </row>
    <row r="48" spans="1:15" x14ac:dyDescent="0.35">
      <c r="B48" s="11">
        <v>46</v>
      </c>
      <c r="C48" s="12">
        <v>307.67099999999999</v>
      </c>
      <c r="D48" s="14">
        <f t="shared" si="9"/>
        <v>307.56170833333334</v>
      </c>
      <c r="E48" s="13">
        <f t="shared" si="10"/>
        <v>0.10929166666664969</v>
      </c>
      <c r="G48" s="13">
        <f t="shared" si="21"/>
        <v>-28.730544270833352</v>
      </c>
      <c r="H48" s="14">
        <f t="shared" si="13"/>
        <v>336.40154427083337</v>
      </c>
      <c r="I48" s="14">
        <f t="shared" si="14"/>
        <v>306.56964484868547</v>
      </c>
      <c r="J48" s="14">
        <f t="shared" si="15"/>
        <v>277.83910057785209</v>
      </c>
      <c r="K48" s="13">
        <f t="shared" si="16"/>
        <v>29.831899422147899</v>
      </c>
      <c r="L48" s="13">
        <f t="shared" si="19"/>
        <v>29.942739699925653</v>
      </c>
      <c r="M48" s="13">
        <f t="shared" si="20"/>
        <v>-0.11084027777775418</v>
      </c>
      <c r="N48" s="13">
        <f t="shared" si="17"/>
        <v>889.9422231331481</v>
      </c>
      <c r="O48" s="13">
        <f t="shared" si="18"/>
        <v>9.6960387628823974E-2</v>
      </c>
    </row>
    <row r="49" spans="1:15" x14ac:dyDescent="0.35">
      <c r="B49" s="11">
        <v>47</v>
      </c>
      <c r="C49" s="12">
        <v>307.05099999999999</v>
      </c>
      <c r="D49" s="14">
        <f t="shared" si="9"/>
        <v>308.40033333333332</v>
      </c>
      <c r="E49" s="13">
        <f t="shared" si="10"/>
        <v>-1.3493333333333339</v>
      </c>
      <c r="G49" s="13">
        <f t="shared" si="21"/>
        <v>-29.856981770833332</v>
      </c>
      <c r="H49" s="14">
        <f t="shared" si="13"/>
        <v>336.90798177083332</v>
      </c>
      <c r="I49" s="14">
        <f t="shared" si="14"/>
        <v>307.75702516150386</v>
      </c>
      <c r="J49" s="14">
        <f t="shared" si="15"/>
        <v>277.90004339067053</v>
      </c>
      <c r="K49" s="13">
        <f t="shared" si="16"/>
        <v>29.150956609329455</v>
      </c>
      <c r="L49" s="13">
        <f t="shared" si="19"/>
        <v>29.286494803773923</v>
      </c>
      <c r="M49" s="13">
        <f t="shared" si="20"/>
        <v>-0.13553819444446802</v>
      </c>
      <c r="N49" s="13">
        <f t="shared" si="17"/>
        <v>849.77827123900863</v>
      </c>
      <c r="O49" s="13">
        <f t="shared" si="18"/>
        <v>9.4938484516674609E-2</v>
      </c>
    </row>
    <row r="50" spans="1:15" x14ac:dyDescent="0.35">
      <c r="B50" s="11">
        <v>48</v>
      </c>
      <c r="C50" s="12">
        <v>306.74599999999998</v>
      </c>
      <c r="D50" s="14">
        <f t="shared" si="9"/>
        <v>309.19233333333335</v>
      </c>
      <c r="E50" s="13">
        <f t="shared" si="10"/>
        <v>-2.4463333333333708</v>
      </c>
      <c r="G50" s="13">
        <f t="shared" si="21"/>
        <v>-31.075033854166666</v>
      </c>
      <c r="H50" s="14">
        <f t="shared" si="13"/>
        <v>337.82103385416667</v>
      </c>
      <c r="I50" s="14">
        <f t="shared" si="14"/>
        <v>308.94440547432225</v>
      </c>
      <c r="J50" s="14">
        <f t="shared" si="15"/>
        <v>277.86937162015556</v>
      </c>
      <c r="K50" s="13">
        <f t="shared" si="16"/>
        <v>28.876628379844419</v>
      </c>
      <c r="L50" s="13">
        <f t="shared" si="19"/>
        <v>28.892697824288842</v>
      </c>
      <c r="M50" s="13">
        <f t="shared" si="20"/>
        <v>-1.6069444444422487E-2</v>
      </c>
      <c r="N50" s="13">
        <f t="shared" si="17"/>
        <v>833.85966658763618</v>
      </c>
      <c r="O50" s="13">
        <f t="shared" si="18"/>
        <v>9.413856539235857E-2</v>
      </c>
    </row>
    <row r="51" spans="1:15" x14ac:dyDescent="0.35">
      <c r="A51" s="11">
        <v>5</v>
      </c>
      <c r="B51" s="11">
        <v>49</v>
      </c>
      <c r="C51" s="12">
        <v>308.41699999999997</v>
      </c>
      <c r="D51" s="14">
        <f t="shared" si="9"/>
        <v>309.93879166666665</v>
      </c>
      <c r="E51" s="13">
        <f t="shared" si="10"/>
        <v>-1.5217916666666724</v>
      </c>
      <c r="G51" s="13">
        <f t="shared" ref="G51:G62" si="22">G3</f>
        <v>-30.365294270833321</v>
      </c>
      <c r="H51" s="14">
        <f t="shared" si="13"/>
        <v>338.78229427083329</v>
      </c>
      <c r="I51" s="14">
        <f t="shared" si="14"/>
        <v>310.13178578714064</v>
      </c>
      <c r="J51" s="14">
        <f t="shared" si="15"/>
        <v>279.76649151630733</v>
      </c>
      <c r="K51" s="13">
        <f t="shared" si="16"/>
        <v>28.650508483692647</v>
      </c>
      <c r="L51" s="13">
        <f t="shared" si="19"/>
        <v>28.717883483692692</v>
      </c>
      <c r="M51" s="13">
        <f t="shared" si="20"/>
        <v>-6.7375000000044594E-2</v>
      </c>
      <c r="N51" s="13">
        <f t="shared" si="17"/>
        <v>820.85163637414439</v>
      </c>
      <c r="O51" s="13">
        <f t="shared" si="18"/>
        <v>9.2895360773539229E-2</v>
      </c>
    </row>
    <row r="52" spans="1:15" x14ac:dyDescent="0.35">
      <c r="B52" s="11">
        <v>50</v>
      </c>
      <c r="C52" s="12">
        <v>310.32600000000002</v>
      </c>
      <c r="D52" s="14">
        <f t="shared" si="9"/>
        <v>310.63125000000002</v>
      </c>
      <c r="E52" s="13">
        <f t="shared" si="10"/>
        <v>-0.30525000000000091</v>
      </c>
      <c r="G52" s="13">
        <f t="shared" si="22"/>
        <v>-29.619679687499985</v>
      </c>
      <c r="H52" s="14">
        <f t="shared" si="13"/>
        <v>339.94567968749999</v>
      </c>
      <c r="I52" s="14">
        <f t="shared" si="14"/>
        <v>311.31916609995898</v>
      </c>
      <c r="J52" s="14">
        <f t="shared" si="15"/>
        <v>281.69948641245901</v>
      </c>
      <c r="K52" s="13">
        <f t="shared" si="16"/>
        <v>28.626513587541012</v>
      </c>
      <c r="L52" s="13">
        <f t="shared" si="19"/>
        <v>28.567895531985414</v>
      </c>
      <c r="M52" s="13">
        <f t="shared" si="20"/>
        <v>5.8618055555598403E-2</v>
      </c>
      <c r="N52" s="13">
        <f t="shared" si="17"/>
        <v>819.4772801776702</v>
      </c>
      <c r="O52" s="13">
        <f t="shared" si="18"/>
        <v>9.2246584519315208E-2</v>
      </c>
    </row>
    <row r="53" spans="1:15" x14ac:dyDescent="0.35">
      <c r="B53" s="11">
        <v>51</v>
      </c>
      <c r="C53" s="12">
        <v>312.33199999999999</v>
      </c>
      <c r="D53" s="14">
        <f t="shared" si="9"/>
        <v>311.26799999999997</v>
      </c>
      <c r="E53" s="13">
        <f t="shared" si="10"/>
        <v>1.0640000000000214</v>
      </c>
      <c r="G53" s="13">
        <f t="shared" si="22"/>
        <v>-28.60121093749996</v>
      </c>
      <c r="H53" s="14">
        <f t="shared" si="13"/>
        <v>340.93321093749995</v>
      </c>
      <c r="I53" s="14">
        <f t="shared" si="14"/>
        <v>312.50654641277737</v>
      </c>
      <c r="J53" s="14">
        <f t="shared" si="15"/>
        <v>283.90533547527741</v>
      </c>
      <c r="K53" s="13">
        <f t="shared" si="16"/>
        <v>28.426664524722582</v>
      </c>
      <c r="L53" s="13">
        <f t="shared" si="19"/>
        <v>28.342046469167048</v>
      </c>
      <c r="M53" s="13">
        <f t="shared" si="20"/>
        <v>8.4618055555534255E-2</v>
      </c>
      <c r="N53" s="13">
        <f t="shared" si="17"/>
        <v>808.07525600112137</v>
      </c>
      <c r="O53" s="13">
        <f t="shared" si="18"/>
        <v>9.1014255742999706E-2</v>
      </c>
    </row>
    <row r="54" spans="1:15" x14ac:dyDescent="0.35">
      <c r="B54" s="11">
        <v>52</v>
      </c>
      <c r="C54" s="12">
        <v>313.548</v>
      </c>
      <c r="D54" s="14">
        <f t="shared" si="9"/>
        <v>311.91404166666666</v>
      </c>
      <c r="E54" s="13">
        <f t="shared" si="10"/>
        <v>1.6339583333333394</v>
      </c>
      <c r="G54" s="13">
        <f t="shared" si="22"/>
        <v>-28.118888020833314</v>
      </c>
      <c r="H54" s="14">
        <f t="shared" si="13"/>
        <v>341.66688802083331</v>
      </c>
      <c r="I54" s="14">
        <f t="shared" si="14"/>
        <v>313.69392672559576</v>
      </c>
      <c r="J54" s="14">
        <f t="shared" si="15"/>
        <v>285.57503870476245</v>
      </c>
      <c r="K54" s="13">
        <f t="shared" si="16"/>
        <v>27.972961295237553</v>
      </c>
      <c r="L54" s="13">
        <f t="shared" si="19"/>
        <v>27.734805045237561</v>
      </c>
      <c r="M54" s="13">
        <f t="shared" si="20"/>
        <v>0.2381562499999923</v>
      </c>
      <c r="N54" s="13">
        <f t="shared" si="17"/>
        <v>782.48656362485826</v>
      </c>
      <c r="O54" s="13">
        <f t="shared" si="18"/>
        <v>8.9214287111503032E-2</v>
      </c>
    </row>
    <row r="55" spans="1:15" x14ac:dyDescent="0.35">
      <c r="B55" s="11">
        <v>53</v>
      </c>
      <c r="C55" s="12">
        <v>314.06900000000002</v>
      </c>
      <c r="D55" s="14">
        <f t="shared" si="9"/>
        <v>312.59883333333329</v>
      </c>
      <c r="E55" s="13">
        <f t="shared" si="10"/>
        <v>1.4701666666667279</v>
      </c>
      <c r="G55" s="13">
        <f t="shared" si="22"/>
        <v>-27.617096354166652</v>
      </c>
      <c r="H55" s="14">
        <f t="shared" si="13"/>
        <v>341.68609635416669</v>
      </c>
      <c r="I55" s="14">
        <f t="shared" si="14"/>
        <v>314.88130703841415</v>
      </c>
      <c r="J55" s="14">
        <f t="shared" si="15"/>
        <v>287.26421068424747</v>
      </c>
      <c r="K55" s="13">
        <f t="shared" si="16"/>
        <v>26.804789315752544</v>
      </c>
      <c r="L55" s="13">
        <f t="shared" si="19"/>
        <v>26.583369176863624</v>
      </c>
      <c r="M55" s="13">
        <f t="shared" si="20"/>
        <v>0.22142013888892009</v>
      </c>
      <c r="N55" s="13">
        <f t="shared" si="17"/>
        <v>718.49673026188168</v>
      </c>
      <c r="O55" s="13">
        <f t="shared" si="18"/>
        <v>8.5346816514054374E-2</v>
      </c>
    </row>
    <row r="56" spans="1:15" x14ac:dyDescent="0.35">
      <c r="B56" s="11">
        <v>54</v>
      </c>
      <c r="C56" s="12">
        <v>314.17500000000001</v>
      </c>
      <c r="D56" s="14">
        <f t="shared" si="9"/>
        <v>313.31970833333327</v>
      </c>
      <c r="E56" s="13">
        <f t="shared" si="10"/>
        <v>0.85529166666674428</v>
      </c>
      <c r="G56" s="13">
        <f t="shared" si="22"/>
        <v>-26.866044270833289</v>
      </c>
      <c r="H56" s="14">
        <f t="shared" si="13"/>
        <v>341.04104427083331</v>
      </c>
      <c r="I56" s="14">
        <f t="shared" si="14"/>
        <v>316.06868735123254</v>
      </c>
      <c r="J56" s="14">
        <f t="shared" si="15"/>
        <v>289.20264308039924</v>
      </c>
      <c r="K56" s="13">
        <f t="shared" si="16"/>
        <v>24.97235691960077</v>
      </c>
      <c r="L56" s="13">
        <f t="shared" si="19"/>
        <v>25.537488864045276</v>
      </c>
      <c r="M56" s="13">
        <f t="shared" si="20"/>
        <v>-0.56513194444450576</v>
      </c>
      <c r="N56" s="13">
        <f t="shared" si="17"/>
        <v>623.61861011993244</v>
      </c>
      <c r="O56" s="13">
        <f t="shared" si="18"/>
        <v>7.9485499863454351E-2</v>
      </c>
    </row>
    <row r="57" spans="1:15" x14ac:dyDescent="0.35">
      <c r="B57" s="11">
        <v>55</v>
      </c>
      <c r="C57" s="12">
        <v>314.54000000000002</v>
      </c>
      <c r="G57" s="13">
        <f t="shared" si="22"/>
        <v>-27.551388020833361</v>
      </c>
      <c r="H57" s="14">
        <f t="shared" si="13"/>
        <v>342.09138802083339</v>
      </c>
      <c r="I57" s="14">
        <f t="shared" si="14"/>
        <v>317.25606766405087</v>
      </c>
      <c r="J57" s="14">
        <f t="shared" si="15"/>
        <v>289.7046796432175</v>
      </c>
      <c r="K57" s="13">
        <f t="shared" si="16"/>
        <v>24.835320356782518</v>
      </c>
      <c r="L57" s="13">
        <f t="shared" si="19"/>
        <v>24.707448829004687</v>
      </c>
      <c r="M57" s="13">
        <f t="shared" si="20"/>
        <v>0.12787152777783106</v>
      </c>
      <c r="N57" s="13">
        <f t="shared" si="17"/>
        <v>616.79313722401616</v>
      </c>
      <c r="O57" s="13">
        <f t="shared" si="18"/>
        <v>7.8957589994221769E-2</v>
      </c>
    </row>
    <row r="58" spans="1:15" x14ac:dyDescent="0.35">
      <c r="B58" s="11">
        <v>56</v>
      </c>
      <c r="C58" s="12">
        <v>314.79599999999999</v>
      </c>
      <c r="G58" s="13">
        <f t="shared" si="22"/>
        <v>-27.962117187500017</v>
      </c>
      <c r="H58" s="14">
        <f t="shared" si="13"/>
        <v>342.75811718750003</v>
      </c>
      <c r="I58" s="14">
        <f t="shared" si="14"/>
        <v>318.44344797686927</v>
      </c>
      <c r="J58" s="14">
        <f t="shared" si="15"/>
        <v>290.48133078936922</v>
      </c>
      <c r="K58" s="13">
        <f t="shared" si="16"/>
        <v>24.314669210630768</v>
      </c>
      <c r="L58" s="13">
        <f t="shared" si="19"/>
        <v>24.419596293964105</v>
      </c>
      <c r="M58" s="13">
        <f t="shared" si="20"/>
        <v>-0.10492708333333667</v>
      </c>
      <c r="N58" s="13">
        <f t="shared" si="17"/>
        <v>591.20313882239589</v>
      </c>
      <c r="O58" s="13">
        <f t="shared" si="18"/>
        <v>7.7239447803119379E-2</v>
      </c>
    </row>
    <row r="59" spans="1:15" x14ac:dyDescent="0.35">
      <c r="B59" s="11">
        <v>57</v>
      </c>
      <c r="C59" s="12">
        <v>315.30099999999999</v>
      </c>
      <c r="G59" s="13">
        <f t="shared" si="22"/>
        <v>-28.438627604166687</v>
      </c>
      <c r="H59" s="14">
        <f t="shared" si="13"/>
        <v>343.73962760416669</v>
      </c>
      <c r="I59" s="14">
        <f t="shared" si="14"/>
        <v>319.63082828968766</v>
      </c>
      <c r="J59" s="14">
        <f t="shared" si="15"/>
        <v>291.19220068552096</v>
      </c>
      <c r="K59" s="13">
        <f t="shared" si="16"/>
        <v>24.108799314479029</v>
      </c>
      <c r="L59" s="13">
        <f t="shared" si="19"/>
        <v>23.999934731145704</v>
      </c>
      <c r="M59" s="13">
        <f t="shared" si="20"/>
        <v>0.10886458333332527</v>
      </c>
      <c r="N59" s="13">
        <f t="shared" si="17"/>
        <v>581.23420438582446</v>
      </c>
      <c r="O59" s="13">
        <f t="shared" si="18"/>
        <v>7.6462806380186016E-2</v>
      </c>
    </row>
    <row r="60" spans="1:15" x14ac:dyDescent="0.35">
      <c r="B60" s="11">
        <v>58</v>
      </c>
      <c r="C60" s="12">
        <v>315.66399999999999</v>
      </c>
      <c r="G60" s="13">
        <f t="shared" si="22"/>
        <v>-28.730544270833352</v>
      </c>
      <c r="H60" s="14">
        <f t="shared" si="13"/>
        <v>344.39454427083336</v>
      </c>
      <c r="I60" s="14">
        <f t="shared" si="14"/>
        <v>320.81820860250605</v>
      </c>
      <c r="J60" s="14">
        <f t="shared" si="15"/>
        <v>292.08766433167267</v>
      </c>
      <c r="K60" s="13">
        <f t="shared" si="16"/>
        <v>23.576335668327317</v>
      </c>
      <c r="L60" s="13">
        <f t="shared" si="19"/>
        <v>23.67650927943841</v>
      </c>
      <c r="M60" s="13">
        <f t="shared" si="20"/>
        <v>-0.10017361111109224</v>
      </c>
      <c r="N60" s="13">
        <f t="shared" si="17"/>
        <v>555.84360354564285</v>
      </c>
      <c r="O60" s="13">
        <f t="shared" si="18"/>
        <v>7.4688072343781109E-2</v>
      </c>
    </row>
    <row r="61" spans="1:15" x14ac:dyDescent="0.35">
      <c r="B61" s="11">
        <v>59</v>
      </c>
      <c r="C61" s="12">
        <v>315.49299999999999</v>
      </c>
      <c r="G61" s="13">
        <f t="shared" si="22"/>
        <v>-29.856981770833332</v>
      </c>
      <c r="H61" s="14">
        <f t="shared" si="13"/>
        <v>345.34998177083332</v>
      </c>
      <c r="I61" s="14">
        <f t="shared" si="14"/>
        <v>322.00558891532444</v>
      </c>
      <c r="J61" s="14">
        <f t="shared" si="15"/>
        <v>292.14860714449111</v>
      </c>
      <c r="K61" s="13">
        <f t="shared" si="16"/>
        <v>23.344392855508886</v>
      </c>
      <c r="L61" s="13">
        <f t="shared" si="19"/>
        <v>23.469264383286696</v>
      </c>
      <c r="M61" s="13">
        <f t="shared" si="20"/>
        <v>-0.12487152777780963</v>
      </c>
      <c r="N61" s="13">
        <f t="shared" si="17"/>
        <v>544.96067779233431</v>
      </c>
      <c r="O61" s="13">
        <f t="shared" si="18"/>
        <v>7.3993378158973055E-2</v>
      </c>
    </row>
    <row r="62" spans="1:15" x14ac:dyDescent="0.35">
      <c r="B62" s="11">
        <v>60</v>
      </c>
      <c r="C62" s="12">
        <v>315.60500000000002</v>
      </c>
      <c r="G62" s="13">
        <f t="shared" si="22"/>
        <v>-31.075033854166666</v>
      </c>
      <c r="H62" s="14">
        <f t="shared" si="13"/>
        <v>346.68003385416671</v>
      </c>
      <c r="I62" s="14">
        <f t="shared" si="14"/>
        <v>323.19296922814283</v>
      </c>
      <c r="J62" s="14">
        <f t="shared" si="15"/>
        <v>292.11793537397614</v>
      </c>
      <c r="K62" s="13">
        <f t="shared" si="16"/>
        <v>23.48706462602388</v>
      </c>
      <c r="N62" s="13">
        <f t="shared" si="17"/>
        <v>551.64220474702222</v>
      </c>
      <c r="O62" s="13">
        <f t="shared" si="18"/>
        <v>7.4419177852137572E-2</v>
      </c>
    </row>
    <row r="63" spans="1:15" x14ac:dyDescent="0.35">
      <c r="A63" s="11">
        <v>6</v>
      </c>
      <c r="B63" s="11">
        <v>61</v>
      </c>
      <c r="G63" s="13">
        <f t="shared" ref="G63:G74" si="23">G3</f>
        <v>-30.365294270833321</v>
      </c>
      <c r="I63" s="14">
        <f t="shared" si="14"/>
        <v>324.38034954096116</v>
      </c>
      <c r="J63" s="14">
        <f t="shared" si="15"/>
        <v>294.01505527012785</v>
      </c>
      <c r="M63" s="15" t="s">
        <v>71</v>
      </c>
      <c r="N63" s="13">
        <f>SUM(N3:N62)</f>
        <v>50347.180506832883</v>
      </c>
      <c r="O63" s="16">
        <f>SUM(O3:O62)</f>
        <v>6.0036902279915374</v>
      </c>
    </row>
    <row r="64" spans="1:15" x14ac:dyDescent="0.35">
      <c r="B64" s="11">
        <v>62</v>
      </c>
      <c r="G64" s="13">
        <f t="shared" si="23"/>
        <v>-29.619679687499985</v>
      </c>
      <c r="I64" s="14">
        <f t="shared" si="14"/>
        <v>325.56772985377955</v>
      </c>
      <c r="J64" s="14">
        <f t="shared" si="15"/>
        <v>295.94805016627959</v>
      </c>
      <c r="M64" s="15" t="s">
        <v>72</v>
      </c>
      <c r="N64" s="13">
        <f>N63/COUNT(C3:C62)</f>
        <v>839.11967511388139</v>
      </c>
    </row>
    <row r="65" spans="2:14" x14ac:dyDescent="0.35">
      <c r="B65" s="11">
        <v>63</v>
      </c>
      <c r="G65" s="13">
        <f t="shared" si="23"/>
        <v>-28.60121093749996</v>
      </c>
      <c r="I65" s="14">
        <f t="shared" si="14"/>
        <v>326.75511016659794</v>
      </c>
      <c r="J65" s="14">
        <f t="shared" si="15"/>
        <v>298.15389922909799</v>
      </c>
      <c r="M65" s="15" t="s">
        <v>73</v>
      </c>
      <c r="N65" s="13">
        <f>N64^0.5</f>
        <v>28.967562464140496</v>
      </c>
    </row>
    <row r="66" spans="2:14" x14ac:dyDescent="0.35">
      <c r="B66" s="11">
        <v>64</v>
      </c>
      <c r="G66" s="13">
        <f t="shared" si="23"/>
        <v>-28.118888020833314</v>
      </c>
      <c r="I66" s="14">
        <f t="shared" si="14"/>
        <v>327.94249047941634</v>
      </c>
      <c r="J66" s="14">
        <f t="shared" si="15"/>
        <v>299.82360245858303</v>
      </c>
      <c r="M66" s="15" t="s">
        <v>74</v>
      </c>
      <c r="N66" s="13">
        <f>N65*100/AVERAGE(C3:C62)</f>
        <v>10.052413489877944</v>
      </c>
    </row>
    <row r="67" spans="2:14" x14ac:dyDescent="0.35">
      <c r="B67" s="11">
        <v>65</v>
      </c>
      <c r="G67" s="13">
        <f t="shared" si="23"/>
        <v>-27.617096354166652</v>
      </c>
      <c r="I67" s="14">
        <f t="shared" ref="I67:I74" si="24">(Q$17+Q$18*B67)</f>
        <v>329.12987079223467</v>
      </c>
      <c r="J67" s="14">
        <f t="shared" ref="J67:J98" si="25">I67+G67</f>
        <v>301.51277443806799</v>
      </c>
      <c r="M67" s="15" t="s">
        <v>75</v>
      </c>
      <c r="N67" s="13">
        <f>O63/60*100</f>
        <v>10.006150379985895</v>
      </c>
    </row>
    <row r="68" spans="2:14" x14ac:dyDescent="0.35">
      <c r="B68" s="11">
        <v>66</v>
      </c>
      <c r="G68" s="13">
        <f t="shared" si="23"/>
        <v>-26.866044270833289</v>
      </c>
      <c r="I68" s="14">
        <f t="shared" si="24"/>
        <v>330.31725110505306</v>
      </c>
      <c r="J68" s="14">
        <f t="shared" si="25"/>
        <v>303.45120683421976</v>
      </c>
    </row>
    <row r="69" spans="2:14" x14ac:dyDescent="0.35">
      <c r="B69" s="11">
        <v>67</v>
      </c>
      <c r="G69" s="13">
        <f t="shared" si="23"/>
        <v>-27.551388020833361</v>
      </c>
      <c r="I69" s="14">
        <f t="shared" si="24"/>
        <v>331.50463141787145</v>
      </c>
      <c r="J69" s="14">
        <f t="shared" si="25"/>
        <v>303.95324339703808</v>
      </c>
    </row>
    <row r="70" spans="2:14" x14ac:dyDescent="0.35">
      <c r="B70" s="11">
        <v>68</v>
      </c>
      <c r="G70" s="13">
        <f t="shared" si="23"/>
        <v>-27.962117187500017</v>
      </c>
      <c r="I70" s="14">
        <f t="shared" si="24"/>
        <v>332.69201173068984</v>
      </c>
      <c r="J70" s="14">
        <f t="shared" si="25"/>
        <v>304.7298945431898</v>
      </c>
    </row>
    <row r="71" spans="2:14" x14ac:dyDescent="0.35">
      <c r="B71" s="11">
        <v>69</v>
      </c>
      <c r="G71" s="13">
        <f t="shared" si="23"/>
        <v>-28.438627604166687</v>
      </c>
      <c r="I71" s="14">
        <f t="shared" si="24"/>
        <v>333.87939204350823</v>
      </c>
      <c r="J71" s="14">
        <f t="shared" si="25"/>
        <v>305.44076443934154</v>
      </c>
    </row>
    <row r="72" spans="2:14" x14ac:dyDescent="0.35">
      <c r="B72" s="11">
        <v>70</v>
      </c>
      <c r="G72" s="13">
        <f t="shared" si="23"/>
        <v>-28.730544270833352</v>
      </c>
      <c r="I72" s="14">
        <f t="shared" si="24"/>
        <v>335.06677235632662</v>
      </c>
      <c r="J72" s="14">
        <f t="shared" si="25"/>
        <v>306.33622808549325</v>
      </c>
    </row>
    <row r="73" spans="2:14" x14ac:dyDescent="0.35">
      <c r="B73" s="11">
        <v>71</v>
      </c>
      <c r="G73" s="13">
        <f t="shared" si="23"/>
        <v>-29.856981770833332</v>
      </c>
      <c r="I73" s="14">
        <f t="shared" si="24"/>
        <v>336.25415266914501</v>
      </c>
      <c r="J73" s="14">
        <f t="shared" si="25"/>
        <v>306.39717089831169</v>
      </c>
    </row>
    <row r="74" spans="2:14" x14ac:dyDescent="0.35">
      <c r="B74" s="11">
        <v>72</v>
      </c>
      <c r="G74" s="13">
        <f t="shared" si="23"/>
        <v>-31.075033854166666</v>
      </c>
      <c r="I74" s="14">
        <f t="shared" si="24"/>
        <v>337.44153298196335</v>
      </c>
      <c r="J74" s="14">
        <f t="shared" si="25"/>
        <v>306.36649912779666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zoomScale="55" zoomScaleNormal="55" workbookViewId="0">
      <selection activeCell="S25" sqref="S25"/>
    </sheetView>
  </sheetViews>
  <sheetFormatPr defaultColWidth="8.6328125" defaultRowHeight="14.5" x14ac:dyDescent="0.35"/>
  <cols>
    <col min="1" max="1" width="10.7265625" customWidth="1"/>
    <col min="2" max="2" width="12" customWidth="1"/>
    <col min="3" max="4" width="14" customWidth="1"/>
    <col min="5" max="6" width="16" customWidth="1"/>
    <col min="7" max="7" width="13" customWidth="1"/>
  </cols>
  <sheetData>
    <row r="1" spans="1:7" x14ac:dyDescent="0.35">
      <c r="A1" s="17" t="s">
        <v>3</v>
      </c>
      <c r="B1" s="17" t="s">
        <v>26</v>
      </c>
      <c r="C1" s="17" t="s">
        <v>41</v>
      </c>
      <c r="D1" s="17" t="s">
        <v>29</v>
      </c>
      <c r="E1" s="17" t="s">
        <v>76</v>
      </c>
      <c r="F1" s="17" t="s">
        <v>77</v>
      </c>
      <c r="G1" s="17" t="s">
        <v>78</v>
      </c>
    </row>
    <row r="2" spans="1:7" x14ac:dyDescent="0.35">
      <c r="E2" s="17" t="s">
        <v>79</v>
      </c>
      <c r="F2" s="17" t="s">
        <v>80</v>
      </c>
    </row>
    <row r="3" spans="1:7" x14ac:dyDescent="0.35">
      <c r="A3" s="18">
        <f>AD!B62</f>
        <v>60</v>
      </c>
      <c r="B3" s="13">
        <f>AD!G62</f>
        <v>-31.075033854166666</v>
      </c>
      <c r="C3" s="13">
        <v>324.38034954096003</v>
      </c>
      <c r="D3" s="13">
        <f t="shared" ref="D3:D14" si="0">B3+C3</f>
        <v>293.30531568679334</v>
      </c>
      <c r="E3" s="13">
        <f t="shared" ref="E3:E14" si="1">D3-1.96*G3</f>
        <v>285.73411370586865</v>
      </c>
      <c r="F3" s="13">
        <f t="shared" ref="F3:F14" si="2">D3+1.96*G3</f>
        <v>300.87651766771802</v>
      </c>
      <c r="G3" s="13">
        <v>3.86285815353299</v>
      </c>
    </row>
    <row r="4" spans="1:7" x14ac:dyDescent="0.35">
      <c r="A4" s="18">
        <f>AD!B63</f>
        <v>61</v>
      </c>
      <c r="B4" s="13">
        <f>AD!G63</f>
        <v>-30.365294270833321</v>
      </c>
      <c r="C4" s="13">
        <v>325.56772985377899</v>
      </c>
      <c r="D4" s="13">
        <f t="shared" si="0"/>
        <v>295.20243558294567</v>
      </c>
      <c r="E4" s="13">
        <f t="shared" si="1"/>
        <v>287.61903509467874</v>
      </c>
      <c r="F4" s="13">
        <f t="shared" si="2"/>
        <v>302.7858360712126</v>
      </c>
      <c r="G4" s="13">
        <v>3.8690818817688402</v>
      </c>
    </row>
    <row r="5" spans="1:7" x14ac:dyDescent="0.35">
      <c r="A5" s="18">
        <f>AD!B64</f>
        <v>62</v>
      </c>
      <c r="B5" s="13">
        <f>AD!G64</f>
        <v>-29.619679687499985</v>
      </c>
      <c r="C5" s="13">
        <v>326.75511016659698</v>
      </c>
      <c r="D5" s="13">
        <f t="shared" si="0"/>
        <v>297.13543047909701</v>
      </c>
      <c r="E5" s="13">
        <f t="shared" si="1"/>
        <v>289.53945853111048</v>
      </c>
      <c r="F5" s="13">
        <f t="shared" si="2"/>
        <v>304.73140242708354</v>
      </c>
      <c r="G5" s="13">
        <v>3.8754958918298499</v>
      </c>
    </row>
    <row r="6" spans="1:7" x14ac:dyDescent="0.35">
      <c r="A6" s="18">
        <f>AD!B65</f>
        <v>63</v>
      </c>
      <c r="B6" s="13">
        <f>AD!G65</f>
        <v>-28.60121093749996</v>
      </c>
      <c r="C6" s="13">
        <v>327.94249047941599</v>
      </c>
      <c r="D6" s="13">
        <f t="shared" si="0"/>
        <v>299.34127954191604</v>
      </c>
      <c r="E6" s="13">
        <f t="shared" si="1"/>
        <v>291.73236503040982</v>
      </c>
      <c r="F6" s="13">
        <f t="shared" si="2"/>
        <v>306.95019405342225</v>
      </c>
      <c r="G6" s="13">
        <v>3.8820992405643899</v>
      </c>
    </row>
    <row r="7" spans="1:7" x14ac:dyDescent="0.35">
      <c r="A7" s="18">
        <f>AD!B66</f>
        <v>64</v>
      </c>
      <c r="B7" s="13">
        <f>AD!G66</f>
        <v>-28.118888020833314</v>
      </c>
      <c r="C7" s="13">
        <v>329.12987079223399</v>
      </c>
      <c r="D7" s="13">
        <f t="shared" si="0"/>
        <v>301.01098277140068</v>
      </c>
      <c r="E7" s="13">
        <f t="shared" si="1"/>
        <v>293.38875648298057</v>
      </c>
      <c r="F7" s="13">
        <f t="shared" si="2"/>
        <v>308.63320905982079</v>
      </c>
      <c r="G7" s="13">
        <v>3.88889096347964</v>
      </c>
    </row>
    <row r="8" spans="1:7" x14ac:dyDescent="0.35">
      <c r="A8" s="18">
        <f>AD!B67</f>
        <v>65</v>
      </c>
      <c r="B8" s="13">
        <f>AD!G67</f>
        <v>-27.617096354166652</v>
      </c>
      <c r="C8" s="13">
        <v>330.31725110505198</v>
      </c>
      <c r="D8" s="13">
        <f t="shared" si="0"/>
        <v>302.7001547508853</v>
      </c>
      <c r="E8" s="13">
        <f t="shared" si="1"/>
        <v>295.06424940312098</v>
      </c>
      <c r="F8" s="13">
        <f t="shared" si="2"/>
        <v>310.33606009864963</v>
      </c>
      <c r="G8" s="13">
        <v>3.89587007538996</v>
      </c>
    </row>
    <row r="9" spans="1:7" x14ac:dyDescent="0.35">
      <c r="A9" s="18">
        <f>AD!B68</f>
        <v>66</v>
      </c>
      <c r="B9" s="13">
        <f>AD!G68</f>
        <v>-26.866044270833289</v>
      </c>
      <c r="C9" s="13">
        <v>331.504631417871</v>
      </c>
      <c r="D9" s="13">
        <f t="shared" si="0"/>
        <v>304.6385871470377</v>
      </c>
      <c r="E9" s="13">
        <f t="shared" si="1"/>
        <v>296.98863742773818</v>
      </c>
      <c r="F9" s="13">
        <f t="shared" si="2"/>
        <v>312.28853686633721</v>
      </c>
      <c r="G9" s="13">
        <v>3.9030355710711699</v>
      </c>
    </row>
    <row r="10" spans="1:7" x14ac:dyDescent="0.35">
      <c r="A10" s="18">
        <f>AD!B69</f>
        <v>67</v>
      </c>
      <c r="B10" s="13">
        <f>AD!G69</f>
        <v>-27.551388020833361</v>
      </c>
      <c r="C10" s="13">
        <v>332.69201173068899</v>
      </c>
      <c r="D10" s="13">
        <f t="shared" si="0"/>
        <v>305.14062370985562</v>
      </c>
      <c r="E10" s="13">
        <f t="shared" si="1"/>
        <v>297.47626631505295</v>
      </c>
      <c r="F10" s="13">
        <f t="shared" si="2"/>
        <v>312.80498110465828</v>
      </c>
      <c r="G10" s="13">
        <v>3.9103864259197199</v>
      </c>
    </row>
    <row r="11" spans="1:7" x14ac:dyDescent="0.35">
      <c r="A11" s="18">
        <f>AD!B70</f>
        <v>68</v>
      </c>
      <c r="B11" s="13">
        <f>AD!G70</f>
        <v>-27.962117187500017</v>
      </c>
      <c r="C11" s="13">
        <v>333.87939204350698</v>
      </c>
      <c r="D11" s="13">
        <f t="shared" si="0"/>
        <v>305.91727485600694</v>
      </c>
      <c r="E11" s="13">
        <f t="shared" si="1"/>
        <v>298.23814852663963</v>
      </c>
      <c r="F11" s="13">
        <f t="shared" si="2"/>
        <v>313.59640118537425</v>
      </c>
      <c r="G11" s="13">
        <v>3.9179215966159799</v>
      </c>
    </row>
    <row r="12" spans="1:7" x14ac:dyDescent="0.35">
      <c r="A12" s="18">
        <f>AD!B71</f>
        <v>69</v>
      </c>
      <c r="B12" s="13">
        <f>AD!G71</f>
        <v>-28.438627604166687</v>
      </c>
      <c r="C12" s="13">
        <v>335.066772356326</v>
      </c>
      <c r="D12" s="13">
        <f t="shared" si="0"/>
        <v>306.6281447521593</v>
      </c>
      <c r="E12" s="13">
        <f t="shared" si="1"/>
        <v>298.93389030944945</v>
      </c>
      <c r="F12" s="13">
        <f t="shared" si="2"/>
        <v>314.32239919486915</v>
      </c>
      <c r="G12" s="13">
        <v>3.9256400217907301</v>
      </c>
    </row>
    <row r="13" spans="1:7" x14ac:dyDescent="0.35">
      <c r="A13" s="18">
        <f>AD!B72</f>
        <v>70</v>
      </c>
      <c r="B13" s="13">
        <f>AD!G72</f>
        <v>-28.730544270833352</v>
      </c>
      <c r="C13" s="13">
        <v>336.25415266914399</v>
      </c>
      <c r="D13" s="13">
        <f t="shared" si="0"/>
        <v>307.52360839831061</v>
      </c>
      <c r="E13" s="13">
        <f t="shared" si="1"/>
        <v>299.81386877783063</v>
      </c>
      <c r="F13" s="13">
        <f t="shared" si="2"/>
        <v>315.23334801879059</v>
      </c>
      <c r="G13" s="13">
        <v>3.9335406226938598</v>
      </c>
    </row>
    <row r="14" spans="1:7" x14ac:dyDescent="0.35">
      <c r="A14" s="18">
        <f>AD!B73</f>
        <v>71</v>
      </c>
      <c r="B14" s="13">
        <f>AD!G73</f>
        <v>-29.856981770833332</v>
      </c>
      <c r="C14" s="13">
        <v>337.44153298196301</v>
      </c>
      <c r="D14" s="13">
        <f t="shared" si="0"/>
        <v>307.58455121112968</v>
      </c>
      <c r="E14" s="13">
        <f t="shared" si="1"/>
        <v>299.85897149555507</v>
      </c>
      <c r="F14" s="13">
        <f t="shared" si="2"/>
        <v>315.31013092670429</v>
      </c>
      <c r="G14" s="13">
        <v>3.9416223038645999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MD</vt:lpstr>
      <vt:lpstr>MDF</vt:lpstr>
      <vt:lpstr>AD</vt:lpstr>
      <vt:lpstr>ADF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Kanokphan Sirithienthong</cp:lastModifiedBy>
  <cp:revision>1</cp:revision>
  <dcterms:created xsi:type="dcterms:W3CDTF">2026-03-24T14:22:30Z</dcterms:created>
  <dcterms:modified xsi:type="dcterms:W3CDTF">2026-03-24T14:27:20Z</dcterms:modified>
  <dc:language>en-US</dc:language>
</cp:coreProperties>
</file>