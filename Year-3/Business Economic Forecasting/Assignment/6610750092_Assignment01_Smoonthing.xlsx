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FAF3670-027A-4F0F-ADD4-896B62E90739}" xr6:coauthVersionLast="47" xr6:coauthVersionMax="47" xr10:uidLastSave="{00000000-0000-0000-0000-000000000000}"/>
  <bookViews>
    <workbookView xWindow="-110" yWindow="-110" windowWidth="19420" windowHeight="10300" tabRatio="500" activeTab="3" xr2:uid="{00000000-000D-0000-FFFF-FFFF00000000}"/>
  </bookViews>
  <sheets>
    <sheet name="MA" sheetId="2" r:id="rId1"/>
    <sheet name="WMA" sheetId="4" r:id="rId2"/>
    <sheet name="SES" sheetId="7" r:id="rId3"/>
    <sheet name="SESF" sheetId="8" r:id="rId4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6" i="8" l="1"/>
  <c r="A5" i="8"/>
  <c r="A4" i="8"/>
  <c r="A3" i="8"/>
  <c r="I2" i="8"/>
  <c r="C3" i="7"/>
  <c r="D4" i="7" s="1"/>
  <c r="D29" i="4"/>
  <c r="D30" i="4" s="1"/>
  <c r="D31" i="4" s="1"/>
  <c r="C29" i="4"/>
  <c r="C30" i="4" s="1"/>
  <c r="C31" i="4" s="1"/>
  <c r="D28" i="4"/>
  <c r="C28" i="4"/>
  <c r="D27" i="4"/>
  <c r="I27" i="4" s="1"/>
  <c r="C27" i="4"/>
  <c r="H27" i="4" s="1"/>
  <c r="I26" i="4"/>
  <c r="H26" i="4"/>
  <c r="F26" i="4"/>
  <c r="E26" i="4"/>
  <c r="D26" i="4"/>
  <c r="C26" i="4"/>
  <c r="D25" i="4"/>
  <c r="I25" i="4" s="1"/>
  <c r="C25" i="4"/>
  <c r="H25" i="4" s="1"/>
  <c r="I24" i="4"/>
  <c r="H24" i="4"/>
  <c r="F24" i="4"/>
  <c r="E24" i="4"/>
  <c r="D24" i="4"/>
  <c r="C24" i="4"/>
  <c r="D23" i="4"/>
  <c r="I23" i="4" s="1"/>
  <c r="C23" i="4"/>
  <c r="H23" i="4" s="1"/>
  <c r="I22" i="4"/>
  <c r="H22" i="4"/>
  <c r="F22" i="4"/>
  <c r="E22" i="4"/>
  <c r="D22" i="4"/>
  <c r="C22" i="4"/>
  <c r="D21" i="4"/>
  <c r="I21" i="4" s="1"/>
  <c r="C21" i="4"/>
  <c r="H21" i="4" s="1"/>
  <c r="I20" i="4"/>
  <c r="H20" i="4"/>
  <c r="F20" i="4"/>
  <c r="E20" i="4"/>
  <c r="D20" i="4"/>
  <c r="C20" i="4"/>
  <c r="D19" i="4"/>
  <c r="I19" i="4" s="1"/>
  <c r="C19" i="4"/>
  <c r="H19" i="4" s="1"/>
  <c r="I18" i="4"/>
  <c r="H18" i="4"/>
  <c r="F18" i="4"/>
  <c r="E18" i="4"/>
  <c r="D18" i="4"/>
  <c r="C18" i="4"/>
  <c r="D17" i="4"/>
  <c r="I17" i="4" s="1"/>
  <c r="C17" i="4"/>
  <c r="H17" i="4" s="1"/>
  <c r="I16" i="4"/>
  <c r="H16" i="4"/>
  <c r="F16" i="4"/>
  <c r="E16" i="4"/>
  <c r="D16" i="4"/>
  <c r="C16" i="4"/>
  <c r="D15" i="4"/>
  <c r="I15" i="4" s="1"/>
  <c r="C15" i="4"/>
  <c r="H15" i="4" s="1"/>
  <c r="I14" i="4"/>
  <c r="H14" i="4"/>
  <c r="F14" i="4"/>
  <c r="E14" i="4"/>
  <c r="D14" i="4"/>
  <c r="C14" i="4"/>
  <c r="D13" i="4"/>
  <c r="I13" i="4" s="1"/>
  <c r="C13" i="4"/>
  <c r="H13" i="4" s="1"/>
  <c r="I12" i="4"/>
  <c r="H12" i="4"/>
  <c r="F12" i="4"/>
  <c r="E12" i="4"/>
  <c r="D12" i="4"/>
  <c r="C12" i="4"/>
  <c r="D11" i="4"/>
  <c r="I11" i="4" s="1"/>
  <c r="C11" i="4"/>
  <c r="H11" i="4" s="1"/>
  <c r="I10" i="4"/>
  <c r="H10" i="4"/>
  <c r="F10" i="4"/>
  <c r="E10" i="4"/>
  <c r="D10" i="4"/>
  <c r="C10" i="4"/>
  <c r="D9" i="4"/>
  <c r="I9" i="4" s="1"/>
  <c r="C9" i="4"/>
  <c r="H9" i="4" s="1"/>
  <c r="I8" i="4"/>
  <c r="H8" i="4"/>
  <c r="F8" i="4"/>
  <c r="E8" i="4"/>
  <c r="D8" i="4"/>
  <c r="C8" i="4"/>
  <c r="D7" i="4"/>
  <c r="I7" i="4" s="1"/>
  <c r="C7" i="4"/>
  <c r="H7" i="4" s="1"/>
  <c r="L6" i="4"/>
  <c r="K6" i="4"/>
  <c r="H6" i="4"/>
  <c r="E6" i="4"/>
  <c r="C6" i="4"/>
  <c r="H5" i="4"/>
  <c r="C5" i="4"/>
  <c r="E5" i="4" s="1"/>
  <c r="D28" i="2"/>
  <c r="C28" i="2"/>
  <c r="I27" i="2"/>
  <c r="H27" i="2"/>
  <c r="D27" i="2"/>
  <c r="F27" i="2" s="1"/>
  <c r="C27" i="2"/>
  <c r="E27" i="2" s="1"/>
  <c r="D26" i="2"/>
  <c r="I26" i="2" s="1"/>
  <c r="C26" i="2"/>
  <c r="H26" i="2" s="1"/>
  <c r="I25" i="2"/>
  <c r="H25" i="2"/>
  <c r="D25" i="2"/>
  <c r="F25" i="2" s="1"/>
  <c r="C25" i="2"/>
  <c r="E25" i="2" s="1"/>
  <c r="D24" i="2"/>
  <c r="F24" i="2" s="1"/>
  <c r="C24" i="2"/>
  <c r="H24" i="2" s="1"/>
  <c r="I23" i="2"/>
  <c r="H23" i="2"/>
  <c r="D23" i="2"/>
  <c r="F23" i="2" s="1"/>
  <c r="C23" i="2"/>
  <c r="E23" i="2" s="1"/>
  <c r="D22" i="2"/>
  <c r="I22" i="2" s="1"/>
  <c r="C22" i="2"/>
  <c r="H22" i="2" s="1"/>
  <c r="I21" i="2"/>
  <c r="H21" i="2"/>
  <c r="D21" i="2"/>
  <c r="F21" i="2" s="1"/>
  <c r="C21" i="2"/>
  <c r="E21" i="2" s="1"/>
  <c r="D20" i="2"/>
  <c r="F20" i="2" s="1"/>
  <c r="C20" i="2"/>
  <c r="H20" i="2" s="1"/>
  <c r="I19" i="2"/>
  <c r="H19" i="2"/>
  <c r="D19" i="2"/>
  <c r="F19" i="2" s="1"/>
  <c r="C19" i="2"/>
  <c r="E19" i="2" s="1"/>
  <c r="D18" i="2"/>
  <c r="I18" i="2" s="1"/>
  <c r="C18" i="2"/>
  <c r="E18" i="2" s="1"/>
  <c r="I17" i="2"/>
  <c r="H17" i="2"/>
  <c r="D17" i="2"/>
  <c r="F17" i="2" s="1"/>
  <c r="C17" i="2"/>
  <c r="E17" i="2" s="1"/>
  <c r="D16" i="2"/>
  <c r="F16" i="2" s="1"/>
  <c r="C16" i="2"/>
  <c r="H16" i="2" s="1"/>
  <c r="I15" i="2"/>
  <c r="H15" i="2"/>
  <c r="D15" i="2"/>
  <c r="F15" i="2" s="1"/>
  <c r="C15" i="2"/>
  <c r="E15" i="2" s="1"/>
  <c r="D14" i="2"/>
  <c r="I14" i="2" s="1"/>
  <c r="C14" i="2"/>
  <c r="H14" i="2" s="1"/>
  <c r="I13" i="2"/>
  <c r="H13" i="2"/>
  <c r="D13" i="2"/>
  <c r="F13" i="2" s="1"/>
  <c r="C13" i="2"/>
  <c r="E13" i="2" s="1"/>
  <c r="D12" i="2"/>
  <c r="F12" i="2" s="1"/>
  <c r="C12" i="2"/>
  <c r="H12" i="2" s="1"/>
  <c r="I11" i="2"/>
  <c r="H11" i="2"/>
  <c r="D11" i="2"/>
  <c r="F11" i="2" s="1"/>
  <c r="C11" i="2"/>
  <c r="E11" i="2" s="1"/>
  <c r="D10" i="2"/>
  <c r="I10" i="2" s="1"/>
  <c r="C10" i="2"/>
  <c r="H10" i="2" s="1"/>
  <c r="I9" i="2"/>
  <c r="H9" i="2"/>
  <c r="D9" i="2"/>
  <c r="F9" i="2" s="1"/>
  <c r="C9" i="2"/>
  <c r="E9" i="2" s="1"/>
  <c r="D8" i="2"/>
  <c r="F8" i="2" s="1"/>
  <c r="C8" i="2"/>
  <c r="H8" i="2" s="1"/>
  <c r="I7" i="2"/>
  <c r="H7" i="2"/>
  <c r="D7" i="2"/>
  <c r="F7" i="2" s="1"/>
  <c r="C7" i="2"/>
  <c r="E7" i="2" s="1"/>
  <c r="C6" i="2"/>
  <c r="H6" i="2" s="1"/>
  <c r="C5" i="2"/>
  <c r="E5" i="2" s="1"/>
  <c r="H4" i="7" l="1"/>
  <c r="E4" i="7"/>
  <c r="F4" i="7" s="1"/>
  <c r="I28" i="4"/>
  <c r="I31" i="4" s="1"/>
  <c r="H28" i="4"/>
  <c r="H31" i="4" s="1"/>
  <c r="I28" i="2"/>
  <c r="I31" i="2" s="1"/>
  <c r="H5" i="2"/>
  <c r="H28" i="2" s="1"/>
  <c r="H31" i="2" s="1"/>
  <c r="E14" i="2"/>
  <c r="E22" i="2"/>
  <c r="C4" i="7"/>
  <c r="E10" i="2"/>
  <c r="E16" i="2"/>
  <c r="E20" i="2"/>
  <c r="E26" i="2"/>
  <c r="F10" i="2"/>
  <c r="F28" i="2" s="1"/>
  <c r="F29" i="2" s="1"/>
  <c r="F30" i="2" s="1"/>
  <c r="F14" i="2"/>
  <c r="F18" i="2"/>
  <c r="F22" i="2"/>
  <c r="F26" i="2"/>
  <c r="E6" i="2"/>
  <c r="E28" i="2" s="1"/>
  <c r="H18" i="2"/>
  <c r="I8" i="2"/>
  <c r="I12" i="2"/>
  <c r="I16" i="2"/>
  <c r="I20" i="2"/>
  <c r="I24" i="2"/>
  <c r="E7" i="4"/>
  <c r="E9" i="4"/>
  <c r="E28" i="4" s="1"/>
  <c r="E11" i="4"/>
  <c r="E13" i="4"/>
  <c r="E15" i="4"/>
  <c r="E17" i="4"/>
  <c r="E19" i="4"/>
  <c r="E21" i="4"/>
  <c r="E23" i="4"/>
  <c r="E25" i="4"/>
  <c r="E27" i="4"/>
  <c r="E8" i="2"/>
  <c r="E12" i="2"/>
  <c r="E24" i="2"/>
  <c r="F7" i="4"/>
  <c r="F9" i="4"/>
  <c r="F11" i="4"/>
  <c r="F13" i="4"/>
  <c r="F15" i="4"/>
  <c r="F17" i="4"/>
  <c r="F19" i="4"/>
  <c r="F21" i="4"/>
  <c r="F23" i="4"/>
  <c r="F25" i="4"/>
  <c r="F27" i="4"/>
  <c r="C29" i="2"/>
  <c r="D29" i="2"/>
  <c r="D30" i="2" s="1"/>
  <c r="E30" i="2" l="1"/>
  <c r="E29" i="2"/>
  <c r="E30" i="4"/>
  <c r="E29" i="4"/>
  <c r="F28" i="4"/>
  <c r="D31" i="2"/>
  <c r="C30" i="2"/>
  <c r="C31" i="2" s="1"/>
  <c r="D5" i="7"/>
  <c r="C5" i="7"/>
  <c r="D6" i="7" l="1"/>
  <c r="C6" i="7"/>
  <c r="F30" i="4"/>
  <c r="F29" i="4"/>
  <c r="E5" i="7"/>
  <c r="F5" i="7" s="1"/>
  <c r="H5" i="7"/>
  <c r="D7" i="7" l="1"/>
  <c r="C7" i="7"/>
  <c r="H6" i="7"/>
  <c r="E6" i="7"/>
  <c r="F6" i="7" s="1"/>
  <c r="C8" i="7" l="1"/>
  <c r="D8" i="7"/>
  <c r="E7" i="7"/>
  <c r="F7" i="7" s="1"/>
  <c r="H7" i="7"/>
  <c r="H8" i="7" l="1"/>
  <c r="E8" i="7"/>
  <c r="F8" i="7" s="1"/>
  <c r="D9" i="7"/>
  <c r="C9" i="7"/>
  <c r="H9" i="7" l="1"/>
  <c r="E9" i="7"/>
  <c r="F9" i="7" s="1"/>
  <c r="C10" i="7"/>
  <c r="D10" i="7"/>
  <c r="E10" i="7" l="1"/>
  <c r="F10" i="7" s="1"/>
  <c r="H10" i="7"/>
  <c r="D11" i="7"/>
  <c r="C11" i="7"/>
  <c r="H11" i="7" l="1"/>
  <c r="E11" i="7"/>
  <c r="F11" i="7" s="1"/>
  <c r="D12" i="7"/>
  <c r="C12" i="7"/>
  <c r="E12" i="7" l="1"/>
  <c r="F12" i="7" s="1"/>
  <c r="H12" i="7"/>
  <c r="D13" i="7"/>
  <c r="C13" i="7"/>
  <c r="D14" i="7" l="1"/>
  <c r="C14" i="7"/>
  <c r="H13" i="7"/>
  <c r="E13" i="7"/>
  <c r="F13" i="7" s="1"/>
  <c r="D15" i="7" l="1"/>
  <c r="C15" i="7"/>
  <c r="H14" i="7"/>
  <c r="E14" i="7"/>
  <c r="F14" i="7" s="1"/>
  <c r="D16" i="7" l="1"/>
  <c r="C16" i="7"/>
  <c r="H15" i="7"/>
  <c r="E15" i="7"/>
  <c r="F15" i="7" s="1"/>
  <c r="D17" i="7" l="1"/>
  <c r="C17" i="7"/>
  <c r="H16" i="7"/>
  <c r="E16" i="7"/>
  <c r="F16" i="7" s="1"/>
  <c r="D18" i="7" l="1"/>
  <c r="C18" i="7"/>
  <c r="E17" i="7"/>
  <c r="F17" i="7" s="1"/>
  <c r="H17" i="7"/>
  <c r="D19" i="7" l="1"/>
  <c r="C19" i="7"/>
  <c r="H18" i="7"/>
  <c r="E18" i="7"/>
  <c r="F18" i="7" s="1"/>
  <c r="C20" i="7" l="1"/>
  <c r="D20" i="7"/>
  <c r="E19" i="7"/>
  <c r="F19" i="7" s="1"/>
  <c r="H19" i="7"/>
  <c r="H20" i="7" l="1"/>
  <c r="E20" i="7"/>
  <c r="F20" i="7" s="1"/>
  <c r="D21" i="7"/>
  <c r="C21" i="7"/>
  <c r="C22" i="7" l="1"/>
  <c r="D22" i="7"/>
  <c r="H21" i="7"/>
  <c r="E21" i="7"/>
  <c r="F21" i="7" s="1"/>
  <c r="E22" i="7" l="1"/>
  <c r="F22" i="7" s="1"/>
  <c r="H22" i="7"/>
  <c r="D23" i="7"/>
  <c r="C23" i="7"/>
  <c r="D24" i="7" l="1"/>
  <c r="C24" i="7"/>
  <c r="H23" i="7"/>
  <c r="E23" i="7"/>
  <c r="F23" i="7" s="1"/>
  <c r="D25" i="7" l="1"/>
  <c r="C25" i="7"/>
  <c r="E24" i="7"/>
  <c r="F24" i="7" s="1"/>
  <c r="H24" i="7"/>
  <c r="D26" i="7" l="1"/>
  <c r="C26" i="7"/>
  <c r="H25" i="7"/>
  <c r="E25" i="7"/>
  <c r="F25" i="7" s="1"/>
  <c r="D27" i="7" l="1"/>
  <c r="C27" i="7"/>
  <c r="H26" i="7"/>
  <c r="E26" i="7"/>
  <c r="F26" i="7" s="1"/>
  <c r="D28" i="7" l="1"/>
  <c r="C28" i="7"/>
  <c r="H27" i="7"/>
  <c r="E27" i="7"/>
  <c r="F27" i="7" s="1"/>
  <c r="D29" i="7" l="1"/>
  <c r="C3" i="8" s="1"/>
  <c r="C29" i="7"/>
  <c r="H28" i="7"/>
  <c r="H29" i="7" s="1"/>
  <c r="H32" i="7" s="1"/>
  <c r="E28" i="7"/>
  <c r="F28" i="7" s="1"/>
  <c r="F29" i="7" s="1"/>
  <c r="F31" i="7" l="1"/>
  <c r="F30" i="7"/>
  <c r="H2" i="8" s="1"/>
  <c r="D30" i="7"/>
  <c r="C4" i="8" s="1"/>
  <c r="C30" i="7"/>
  <c r="D31" i="7" l="1"/>
  <c r="C5" i="8" s="1"/>
  <c r="C31" i="7"/>
  <c r="D6" i="8"/>
  <c r="E6" i="8" s="1"/>
  <c r="D4" i="8"/>
  <c r="E4" i="8" s="1"/>
  <c r="D5" i="8"/>
  <c r="E5" i="8" s="1"/>
  <c r="D3" i="8"/>
  <c r="E3" i="8" s="1"/>
  <c r="G3" i="8" l="1"/>
  <c r="F3" i="8"/>
  <c r="D32" i="7"/>
  <c r="C6" i="8" s="1"/>
  <c r="F5" i="8"/>
  <c r="G5" i="8"/>
  <c r="G4" i="8"/>
  <c r="F4" i="8"/>
  <c r="G6" i="8"/>
  <c r="F6" i="8"/>
  <c r="C32" i="7" l="1"/>
</calcChain>
</file>

<file path=xl/sharedStrings.xml><?xml version="1.0" encoding="utf-8"?>
<sst xmlns="http://schemas.openxmlformats.org/spreadsheetml/2006/main" count="64" uniqueCount="38">
  <si>
    <t>t</t>
  </si>
  <si>
    <t>Y</t>
  </si>
  <si>
    <t>2 period MA</t>
  </si>
  <si>
    <t>4 period MA</t>
  </si>
  <si>
    <t>e^2 (2 period MA)</t>
  </si>
  <si>
    <t>e^2 (4 period MA)</t>
  </si>
  <si>
    <t>abs(e/Y)</t>
  </si>
  <si>
    <t>Y-(2 period MA)</t>
  </si>
  <si>
    <t>Y-(4 period MA)</t>
  </si>
  <si>
    <t>SSE</t>
  </si>
  <si>
    <t>MSE</t>
  </si>
  <si>
    <t>RMSE</t>
  </si>
  <si>
    <t>MAPE</t>
  </si>
  <si>
    <t>2 period WMA</t>
  </si>
  <si>
    <t>4 period WMA</t>
  </si>
  <si>
    <t>E^2 (2 p WMA)</t>
  </si>
  <si>
    <t>E^2 (4 p WMA)</t>
  </si>
  <si>
    <t>Y-(2 p WMA)</t>
  </si>
  <si>
    <t>Y-(4 p WMA)</t>
  </si>
  <si>
    <t>w1</t>
  </si>
  <si>
    <t>w2</t>
  </si>
  <si>
    <t>w3</t>
  </si>
  <si>
    <t>w4</t>
  </si>
  <si>
    <t>total</t>
  </si>
  <si>
    <t>S</t>
  </si>
  <si>
    <t>Y^</t>
  </si>
  <si>
    <t>e</t>
  </si>
  <si>
    <t>e^2</t>
  </si>
  <si>
    <t>a</t>
  </si>
  <si>
    <t>Y-Y^</t>
  </si>
  <si>
    <t>s</t>
  </si>
  <si>
    <t>se(Y^)</t>
  </si>
  <si>
    <t>Z0.025se(Y^)</t>
  </si>
  <si>
    <t>Y^L</t>
  </si>
  <si>
    <t>Y^U</t>
  </si>
  <si>
    <t>s*sqrt(1+(t-1)a2)</t>
  </si>
  <si>
    <t>Y^-D</t>
  </si>
  <si>
    <t>Y^+D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</si>
</sst>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right"/>
    </xf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1"/>
  <sheetViews>
    <sheetView zoomScale="50" zoomScaleNormal="85" workbookViewId="0">
      <selection activeCell="E15" sqref="E15"/>
    </sheetView>
  </sheetViews>
  <sheetFormatPr defaultColWidth="8.6328125" defaultRowHeight="14.5" x14ac:dyDescent="0.35"/>
  <cols>
    <col min="1" max="1" width="5" customWidth="1"/>
    <col min="2" max="2" width="12" customWidth="1"/>
    <col min="3" max="4" width="14" customWidth="1"/>
    <col min="5" max="6" width="20" customWidth="1"/>
    <col min="7" max="7" width="8" customWidth="1"/>
    <col min="8" max="9" width="18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 t="s">
        <v>6</v>
      </c>
      <c r="I1" s="1" t="s">
        <v>6</v>
      </c>
    </row>
    <row r="2" spans="1:9" x14ac:dyDescent="0.35">
      <c r="E2" s="1" t="s">
        <v>7</v>
      </c>
      <c r="F2" s="1" t="s">
        <v>8</v>
      </c>
      <c r="H2" s="1" t="s">
        <v>7</v>
      </c>
      <c r="I2" s="1" t="s">
        <v>8</v>
      </c>
    </row>
    <row r="3" spans="1:9" x14ac:dyDescent="0.35">
      <c r="A3" s="1">
        <v>1</v>
      </c>
      <c r="B3" s="2">
        <v>8.0595288971316001E-2</v>
      </c>
    </row>
    <row r="4" spans="1:9" x14ac:dyDescent="0.35">
      <c r="A4" s="1">
        <v>2</v>
      </c>
      <c r="B4" s="2">
        <v>3.28276475435599E-2</v>
      </c>
    </row>
    <row r="5" spans="1:9" x14ac:dyDescent="0.35">
      <c r="A5" s="1">
        <v>3</v>
      </c>
      <c r="B5" s="2">
        <v>1.3653421179197199E-2</v>
      </c>
      <c r="C5" s="2">
        <f t="shared" ref="C5:C28" si="0">AVERAGE(B3:B4)</f>
        <v>5.6711468257437947E-2</v>
      </c>
      <c r="E5" s="4">
        <f t="shared" ref="E5:E27" si="1">($B5-C5)^2</f>
        <v>1.8539954181919966E-3</v>
      </c>
      <c r="H5" s="2">
        <f t="shared" ref="H5:H27" si="2">ABS((B5-C5)/B5)</f>
        <v>3.1536452668614223</v>
      </c>
    </row>
    <row r="6" spans="1:9" x14ac:dyDescent="0.35">
      <c r="A6" s="1">
        <v>4</v>
      </c>
      <c r="B6" s="2">
        <v>2.0642715709030001E-3</v>
      </c>
      <c r="C6" s="2">
        <f t="shared" si="0"/>
        <v>2.3240534361378549E-2</v>
      </c>
      <c r="E6" s="4">
        <f t="shared" si="1"/>
        <v>4.4843410577127921E-4</v>
      </c>
      <c r="H6" s="2">
        <f t="shared" si="2"/>
        <v>10.258467485076176</v>
      </c>
    </row>
    <row r="7" spans="1:9" x14ac:dyDescent="0.35">
      <c r="A7" s="1">
        <v>5</v>
      </c>
      <c r="B7" s="2">
        <v>4.1569255254241599E-2</v>
      </c>
      <c r="C7" s="2">
        <f t="shared" si="0"/>
        <v>7.8588463750500995E-3</v>
      </c>
      <c r="D7" s="2">
        <f t="shared" ref="D7:D28" si="3">AVERAGE(B3:B6)</f>
        <v>3.2285157316244026E-2</v>
      </c>
      <c r="E7" s="4">
        <f t="shared" si="1"/>
        <v>1.1363916668022732E-3</v>
      </c>
      <c r="F7" s="4">
        <f t="shared" ref="F7:F27" si="4">($B7-D7)^2</f>
        <v>8.6194474522330794E-5</v>
      </c>
      <c r="H7" s="2">
        <f t="shared" si="2"/>
        <v>0.81094570188990323</v>
      </c>
      <c r="I7" s="2">
        <f t="shared" ref="I7:I27" si="5">ABS((B7-D7)/B7)</f>
        <v>0.22334049241958101</v>
      </c>
    </row>
    <row r="8" spans="1:9" x14ac:dyDescent="0.35">
      <c r="A8" s="1">
        <v>6</v>
      </c>
      <c r="B8" s="2">
        <v>2.7357781297022501E-2</v>
      </c>
      <c r="C8" s="2">
        <f t="shared" si="0"/>
        <v>2.1816763412572299E-2</v>
      </c>
      <c r="D8" s="2">
        <f t="shared" si="3"/>
        <v>2.2528648886975422E-2</v>
      </c>
      <c r="E8" s="4">
        <f t="shared" si="1"/>
        <v>3.0702879195797002E-5</v>
      </c>
      <c r="F8" s="4">
        <f t="shared" si="4"/>
        <v>2.3320519833767114E-5</v>
      </c>
      <c r="H8" s="2">
        <f t="shared" si="2"/>
        <v>0.20253900798063848</v>
      </c>
      <c r="I8" s="2">
        <f t="shared" si="5"/>
        <v>0.17651769189969585</v>
      </c>
    </row>
    <row r="9" spans="1:9" x14ac:dyDescent="0.35">
      <c r="A9" s="1">
        <v>7</v>
      </c>
      <c r="B9" s="2">
        <v>5.5492918073343299E-2</v>
      </c>
      <c r="C9" s="2">
        <f t="shared" si="0"/>
        <v>3.446351827563205E-2</v>
      </c>
      <c r="D9" s="2">
        <f t="shared" si="3"/>
        <v>2.1161182325341074E-2</v>
      </c>
      <c r="E9" s="4">
        <f t="shared" si="1"/>
        <v>4.4223565585197789E-4</v>
      </c>
      <c r="F9" s="4">
        <f t="shared" si="4"/>
        <v>1.1786680794706539E-3</v>
      </c>
      <c r="H9" s="2">
        <f t="shared" si="2"/>
        <v>0.37895646017240131</v>
      </c>
      <c r="I9" s="2">
        <f t="shared" si="5"/>
        <v>0.61866877684512855</v>
      </c>
    </row>
    <row r="10" spans="1:9" x14ac:dyDescent="0.35">
      <c r="A10" s="1">
        <v>8</v>
      </c>
      <c r="B10" s="2">
        <v>3.8036718490544401E-2</v>
      </c>
      <c r="C10" s="2">
        <f t="shared" si="0"/>
        <v>4.1425349685182897E-2</v>
      </c>
      <c r="D10" s="2">
        <f t="shared" si="3"/>
        <v>3.1621056548877598E-2</v>
      </c>
      <c r="E10" s="4">
        <f t="shared" si="1"/>
        <v>1.148282137327712E-5</v>
      </c>
      <c r="F10" s="4">
        <f t="shared" si="4"/>
        <v>4.1160718149751857E-5</v>
      </c>
      <c r="H10" s="2">
        <f t="shared" si="2"/>
        <v>8.9088421112901217E-2</v>
      </c>
      <c r="I10" s="2">
        <f t="shared" si="5"/>
        <v>0.16867022698768511</v>
      </c>
    </row>
    <row r="11" spans="1:9" x14ac:dyDescent="0.35">
      <c r="A11" s="1">
        <v>9</v>
      </c>
      <c r="B11" s="2">
        <v>-3.01396409463679E-2</v>
      </c>
      <c r="C11" s="2">
        <f t="shared" si="0"/>
        <v>4.676481828194385E-2</v>
      </c>
      <c r="D11" s="2">
        <f t="shared" si="3"/>
        <v>4.061416827878795E-2</v>
      </c>
      <c r="E11" s="4">
        <f t="shared" si="1"/>
        <v>5.9142958491990643E-3</v>
      </c>
      <c r="F11" s="4">
        <f t="shared" si="4"/>
        <v>5.0061015198697495E-3</v>
      </c>
      <c r="H11" s="2">
        <f t="shared" si="2"/>
        <v>2.5516050229383849</v>
      </c>
      <c r="I11" s="2">
        <f t="shared" si="5"/>
        <v>2.3475332486892921</v>
      </c>
    </row>
    <row r="12" spans="1:9" x14ac:dyDescent="0.35">
      <c r="A12" s="1">
        <v>10</v>
      </c>
      <c r="B12" s="2">
        <v>-1.0518067941868599E-2</v>
      </c>
      <c r="C12" s="2">
        <f t="shared" si="0"/>
        <v>3.9485387720882507E-3</v>
      </c>
      <c r="D12" s="2">
        <f t="shared" si="3"/>
        <v>2.2686944228635576E-2</v>
      </c>
      <c r="E12" s="4">
        <f t="shared" si="1"/>
        <v>2.0928270981630142E-4</v>
      </c>
      <c r="F12" s="4">
        <f t="shared" si="4"/>
        <v>1.1025728332433303E-3</v>
      </c>
      <c r="H12" s="2">
        <f t="shared" si="2"/>
        <v>1.3754053305142244</v>
      </c>
      <c r="I12" s="2">
        <f t="shared" si="5"/>
        <v>3.1569497700549269</v>
      </c>
    </row>
    <row r="13" spans="1:9" x14ac:dyDescent="0.35">
      <c r="A13" s="1">
        <v>11</v>
      </c>
      <c r="B13" s="2">
        <v>6.7394168694730597E-2</v>
      </c>
      <c r="C13" s="2">
        <f t="shared" si="0"/>
        <v>-2.0328854444118249E-2</v>
      </c>
      <c r="D13" s="2">
        <f t="shared" si="3"/>
        <v>1.32179819189128E-2</v>
      </c>
      <c r="E13" s="4">
        <f t="shared" si="1"/>
        <v>7.6953287886190099E-3</v>
      </c>
      <c r="F13" s="4">
        <f t="shared" si="4"/>
        <v>2.9350592135682953E-3</v>
      </c>
      <c r="H13" s="2">
        <f t="shared" si="2"/>
        <v>1.3016411484530666</v>
      </c>
      <c r="I13" s="2">
        <f t="shared" si="5"/>
        <v>0.80387053991592183</v>
      </c>
    </row>
    <row r="14" spans="1:9" x14ac:dyDescent="0.35">
      <c r="A14" s="1">
        <v>12</v>
      </c>
      <c r="B14" s="2">
        <v>8.6029060196638005E-3</v>
      </c>
      <c r="C14" s="2">
        <f t="shared" si="0"/>
        <v>2.8438050376430997E-2</v>
      </c>
      <c r="D14" s="2">
        <f t="shared" si="3"/>
        <v>1.6193294574259623E-2</v>
      </c>
      <c r="E14" s="4">
        <f t="shared" si="1"/>
        <v>3.9343295165379362E-4</v>
      </c>
      <c r="F14" s="4">
        <f t="shared" si="4"/>
        <v>5.7613998409739255E-5</v>
      </c>
      <c r="H14" s="2">
        <f t="shared" si="2"/>
        <v>2.3056330397460685</v>
      </c>
      <c r="I14" s="2">
        <f t="shared" si="5"/>
        <v>0.88230518120811141</v>
      </c>
    </row>
    <row r="15" spans="1:9" x14ac:dyDescent="0.35">
      <c r="A15" s="1">
        <v>13</v>
      </c>
      <c r="B15" s="2">
        <v>9.6053377349804195E-2</v>
      </c>
      <c r="C15" s="2">
        <f t="shared" si="0"/>
        <v>3.7998537357197201E-2</v>
      </c>
      <c r="D15" s="2">
        <f t="shared" si="3"/>
        <v>8.8348414565394742E-3</v>
      </c>
      <c r="E15" s="4">
        <f t="shared" si="1"/>
        <v>3.3703644465672006E-3</v>
      </c>
      <c r="F15" s="4">
        <f t="shared" si="4"/>
        <v>7.6070730033647076E-3</v>
      </c>
      <c r="H15" s="2">
        <f t="shared" si="2"/>
        <v>0.60440186065696255</v>
      </c>
      <c r="I15" s="2">
        <f t="shared" si="5"/>
        <v>0.90802154280983771</v>
      </c>
    </row>
    <row r="16" spans="1:9" x14ac:dyDescent="0.35">
      <c r="A16" s="1">
        <v>14</v>
      </c>
      <c r="B16" s="2">
        <v>5.6706422403643097E-2</v>
      </c>
      <c r="C16" s="2">
        <f t="shared" si="0"/>
        <v>5.2328141684734E-2</v>
      </c>
      <c r="D16" s="2">
        <f t="shared" si="3"/>
        <v>4.0383096030582502E-2</v>
      </c>
      <c r="E16" s="4">
        <f t="shared" si="1"/>
        <v>1.9169342053571162E-5</v>
      </c>
      <c r="F16" s="4">
        <f t="shared" si="4"/>
        <v>2.6645098388145558E-4</v>
      </c>
      <c r="H16" s="2">
        <f t="shared" si="2"/>
        <v>7.7209609305696827E-2</v>
      </c>
      <c r="I16" s="2">
        <f t="shared" si="5"/>
        <v>0.28785674851552451</v>
      </c>
    </row>
    <row r="17" spans="1:9" x14ac:dyDescent="0.35">
      <c r="A17" s="1">
        <v>15</v>
      </c>
      <c r="B17" s="2">
        <v>-4.8833406298614997E-3</v>
      </c>
      <c r="C17" s="2">
        <f t="shared" si="0"/>
        <v>7.6379899876723639E-2</v>
      </c>
      <c r="D17" s="2">
        <f t="shared" si="3"/>
        <v>5.7189218616960427E-2</v>
      </c>
      <c r="E17" s="4">
        <f t="shared" si="1"/>
        <v>6.6037142576310989E-3</v>
      </c>
      <c r="F17" s="4">
        <f t="shared" si="4"/>
        <v>3.8530026114502181E-3</v>
      </c>
      <c r="H17" s="2">
        <f t="shared" si="2"/>
        <v>16.640911758164595</v>
      </c>
      <c r="I17" s="2">
        <f t="shared" si="5"/>
        <v>12.711085290108549</v>
      </c>
    </row>
    <row r="18" spans="1:9" x14ac:dyDescent="0.35">
      <c r="A18" s="1">
        <v>16</v>
      </c>
      <c r="B18" s="2">
        <v>1.6708949744929E-3</v>
      </c>
      <c r="C18" s="2">
        <f t="shared" si="0"/>
        <v>2.5911540886890801E-2</v>
      </c>
      <c r="D18" s="2">
        <f t="shared" si="3"/>
        <v>3.9119841285812397E-2</v>
      </c>
      <c r="E18" s="4">
        <f t="shared" si="1"/>
        <v>5.8760891425025307E-4</v>
      </c>
      <c r="F18" s="4">
        <f t="shared" si="4"/>
        <v>1.4024235798280899E-3</v>
      </c>
      <c r="H18" s="2">
        <f t="shared" si="2"/>
        <v>14.507582033846679</v>
      </c>
      <c r="I18" s="2">
        <f t="shared" si="5"/>
        <v>22.412507598022358</v>
      </c>
    </row>
    <row r="19" spans="1:9" x14ac:dyDescent="0.35">
      <c r="A19" s="1">
        <v>17</v>
      </c>
      <c r="B19" s="2">
        <v>-3.6430603310120001E-4</v>
      </c>
      <c r="C19" s="2">
        <f t="shared" si="0"/>
        <v>-1.6062228276842998E-3</v>
      </c>
      <c r="D19" s="2">
        <f t="shared" si="3"/>
        <v>3.7386838524519669E-2</v>
      </c>
      <c r="E19" s="4">
        <f t="shared" si="1"/>
        <v>1.5423573246675615E-6</v>
      </c>
      <c r="F19" s="4">
        <f t="shared" si="4"/>
        <v>1.4251489154103875E-3</v>
      </c>
      <c r="H19" s="2">
        <f t="shared" si="2"/>
        <v>3.4089932137854815</v>
      </c>
      <c r="I19" s="2">
        <f t="shared" si="5"/>
        <v>103.62481300751348</v>
      </c>
    </row>
    <row r="20" spans="1:9" x14ac:dyDescent="0.35">
      <c r="A20" s="1">
        <v>18</v>
      </c>
      <c r="B20" s="2">
        <v>5.3360572632502497E-2</v>
      </c>
      <c r="C20" s="2">
        <f t="shared" si="0"/>
        <v>6.5329447069585004E-4</v>
      </c>
      <c r="D20" s="2">
        <f t="shared" si="3"/>
        <v>1.3282417678793327E-2</v>
      </c>
      <c r="E20" s="4">
        <f t="shared" si="1"/>
        <v>2.7780571712260598E-3</v>
      </c>
      <c r="F20" s="4">
        <f t="shared" si="4"/>
        <v>1.6062585044935231E-3</v>
      </c>
      <c r="H20" s="2">
        <f t="shared" si="2"/>
        <v>0.98775698163520231</v>
      </c>
      <c r="I20" s="2">
        <f t="shared" si="5"/>
        <v>0.75108180022223259</v>
      </c>
    </row>
    <row r="21" spans="1:9" x14ac:dyDescent="0.35">
      <c r="A21" s="1">
        <v>19</v>
      </c>
      <c r="B21" s="2">
        <v>0.10046039669992</v>
      </c>
      <c r="C21" s="2">
        <f t="shared" si="0"/>
        <v>2.649813329970065E-2</v>
      </c>
      <c r="D21" s="2">
        <f t="shared" si="3"/>
        <v>1.2445955236008175E-2</v>
      </c>
      <c r="E21" s="4">
        <f t="shared" si="1"/>
        <v>5.470416407283428E-3</v>
      </c>
      <c r="F21" s="4">
        <f t="shared" si="4"/>
        <v>7.7465419062043607E-3</v>
      </c>
      <c r="H21" s="2">
        <f t="shared" si="2"/>
        <v>0.73623304137597789</v>
      </c>
      <c r="I21" s="2">
        <f t="shared" si="5"/>
        <v>0.87611082929340955</v>
      </c>
    </row>
    <row r="22" spans="1:9" x14ac:dyDescent="0.35">
      <c r="A22" s="1">
        <v>20</v>
      </c>
      <c r="B22" s="2">
        <v>3.6153727188599397E-2</v>
      </c>
      <c r="C22" s="2">
        <f t="shared" si="0"/>
        <v>7.6910484666211254E-2</v>
      </c>
      <c r="D22" s="2">
        <f t="shared" si="3"/>
        <v>3.8781889568453548E-2</v>
      </c>
      <c r="E22" s="4">
        <f t="shared" si="1"/>
        <v>1.6611132800888702E-3</v>
      </c>
      <c r="F22" s="4">
        <f t="shared" si="4"/>
        <v>6.9072374948806368E-6</v>
      </c>
      <c r="H22" s="2">
        <f t="shared" si="2"/>
        <v>1.1273182780021631</v>
      </c>
      <c r="I22" s="2">
        <f t="shared" si="5"/>
        <v>7.2694092261749096E-2</v>
      </c>
    </row>
    <row r="23" spans="1:9" x14ac:dyDescent="0.35">
      <c r="A23" s="1">
        <v>21</v>
      </c>
      <c r="B23" s="2">
        <v>5.7597738845304697E-2</v>
      </c>
      <c r="C23" s="2">
        <f t="shared" si="0"/>
        <v>6.83070619442597E-2</v>
      </c>
      <c r="D23" s="2">
        <f t="shared" si="3"/>
        <v>4.740259762198018E-2</v>
      </c>
      <c r="E23" s="4">
        <f t="shared" si="1"/>
        <v>1.146896012378112E-4</v>
      </c>
      <c r="F23" s="4">
        <f t="shared" si="4"/>
        <v>1.0394090456353092E-4</v>
      </c>
      <c r="H23" s="2">
        <f t="shared" si="2"/>
        <v>0.18593304726280963</v>
      </c>
      <c r="I23" s="2">
        <f t="shared" si="5"/>
        <v>0.17700592814427146</v>
      </c>
    </row>
    <row r="24" spans="1:9" x14ac:dyDescent="0.35">
      <c r="A24" s="1">
        <v>22</v>
      </c>
      <c r="B24" s="2">
        <v>2.5118724680498999E-2</v>
      </c>
      <c r="C24" s="2">
        <f t="shared" si="0"/>
        <v>4.6875733016952047E-2</v>
      </c>
      <c r="D24" s="2">
        <f t="shared" si="3"/>
        <v>6.1893108841581647E-2</v>
      </c>
      <c r="E24" s="4">
        <f t="shared" si="1"/>
        <v>4.7336741175248739E-4</v>
      </c>
      <c r="F24" s="4">
        <f t="shared" si="4"/>
        <v>1.3523553304268863E-3</v>
      </c>
      <c r="H24" s="2">
        <f t="shared" si="2"/>
        <v>0.86616691783497146</v>
      </c>
      <c r="I24" s="2">
        <f t="shared" si="5"/>
        <v>1.4640227411558262</v>
      </c>
    </row>
    <row r="25" spans="1:9" x14ac:dyDescent="0.35">
      <c r="A25" s="1">
        <v>23</v>
      </c>
      <c r="B25" s="2">
        <v>8.5964688503395906E-2</v>
      </c>
      <c r="C25" s="2">
        <f t="shared" si="0"/>
        <v>4.1358231762901848E-2</v>
      </c>
      <c r="D25" s="2">
        <f t="shared" si="3"/>
        <v>5.4832646853580774E-2</v>
      </c>
      <c r="E25" s="4">
        <f t="shared" si="1"/>
        <v>1.9897359829415678E-3</v>
      </c>
      <c r="F25" s="4">
        <f t="shared" si="4"/>
        <v>9.6920401728582402E-4</v>
      </c>
      <c r="H25" s="2">
        <f t="shared" si="2"/>
        <v>0.51889278629482782</v>
      </c>
      <c r="I25" s="2">
        <f t="shared" si="5"/>
        <v>0.36214918231903215</v>
      </c>
    </row>
    <row r="26" spans="1:9" x14ac:dyDescent="0.35">
      <c r="A26" s="1">
        <v>24</v>
      </c>
      <c r="B26" s="2">
        <v>0.103991305636277</v>
      </c>
      <c r="C26" s="2">
        <f t="shared" si="0"/>
        <v>5.5541706591947453E-2</v>
      </c>
      <c r="D26" s="2">
        <f t="shared" si="3"/>
        <v>5.120871980444975E-2</v>
      </c>
      <c r="E26" s="4">
        <f t="shared" si="1"/>
        <v>2.347363647556298E-3</v>
      </c>
      <c r="F26" s="4">
        <f t="shared" si="4"/>
        <v>2.7860013670942103E-3</v>
      </c>
      <c r="H26" s="2">
        <f t="shared" si="2"/>
        <v>0.46590047838987869</v>
      </c>
      <c r="I26" s="2">
        <f t="shared" si="5"/>
        <v>0.50756729621648511</v>
      </c>
    </row>
    <row r="27" spans="1:9" x14ac:dyDescent="0.35">
      <c r="A27" s="1">
        <v>25</v>
      </c>
      <c r="B27" s="2">
        <v>-3.8689356403539099E-2</v>
      </c>
      <c r="C27" s="2">
        <f t="shared" si="0"/>
        <v>9.4977997069836451E-2</v>
      </c>
      <c r="D27" s="2">
        <f t="shared" si="3"/>
        <v>6.8168114416369149E-2</v>
      </c>
      <c r="E27" s="4">
        <f t="shared" si="1"/>
        <v>1.7866961384576323E-2</v>
      </c>
      <c r="F27" s="4">
        <f t="shared" si="4"/>
        <v>1.1418519070027543E-2</v>
      </c>
      <c r="H27" s="2">
        <f t="shared" si="2"/>
        <v>3.4548869740606065</v>
      </c>
      <c r="I27" s="2">
        <f t="shared" si="5"/>
        <v>2.7619345668446811</v>
      </c>
    </row>
    <row r="28" spans="1:9" x14ac:dyDescent="0.35">
      <c r="A28" s="1">
        <v>26</v>
      </c>
      <c r="C28" s="2">
        <f t="shared" si="0"/>
        <v>3.2650974616368948E-2</v>
      </c>
      <c r="D28" s="2">
        <f t="shared" si="3"/>
        <v>4.40963406041582E-2</v>
      </c>
      <c r="E28" s="4">
        <f>SUM(E5:E27)</f>
        <v>6.1419687050964407E-2</v>
      </c>
      <c r="F28" s="4">
        <f>SUM(F5:F27)</f>
        <v>5.0974518788593243E-2</v>
      </c>
      <c r="G28" s="3" t="s">
        <v>9</v>
      </c>
      <c r="H28" s="2">
        <f>SUM(H5:H27)</f>
        <v>66.010113865361035</v>
      </c>
      <c r="I28" s="2">
        <f>SUM(I7:I27)</f>
        <v>155.29470655144772</v>
      </c>
    </row>
    <row r="29" spans="1:9" x14ac:dyDescent="0.35">
      <c r="A29" s="1">
        <v>27</v>
      </c>
      <c r="C29" s="2">
        <f>AVERAGE(C28,$B27)</f>
        <v>-3.0191908935850754E-3</v>
      </c>
      <c r="D29" s="2">
        <f>AVERAGE(D28,B25:B27)</f>
        <v>4.8840744585072995E-2</v>
      </c>
      <c r="E29" s="4">
        <f>E28/COUNT(C3:C27)</f>
        <v>2.6704211761288872E-3</v>
      </c>
      <c r="F29" s="4">
        <f>F28/COUNT(D3:D27)</f>
        <v>2.4273580375520592E-3</v>
      </c>
      <c r="G29" s="3" t="s">
        <v>10</v>
      </c>
    </row>
    <row r="30" spans="1:9" x14ac:dyDescent="0.35">
      <c r="A30" s="1">
        <v>28</v>
      </c>
      <c r="C30" s="2">
        <f>AVERAGE(C28:C29)</f>
        <v>1.4815891861391936E-2</v>
      </c>
      <c r="D30" s="2">
        <f>AVERAGE(D28:D29,B26:B27)</f>
        <v>3.9559758605492268E-2</v>
      </c>
      <c r="E30" s="4">
        <f>(E28/COUNT(C3:C27))^0.5</f>
        <v>5.1676118044304442E-2</v>
      </c>
      <c r="F30" s="4">
        <f>F29^0.5</f>
        <v>4.9268225435386441E-2</v>
      </c>
      <c r="G30" s="3" t="s">
        <v>11</v>
      </c>
    </row>
    <row r="31" spans="1:9" x14ac:dyDescent="0.35">
      <c r="A31" s="1">
        <v>29</v>
      </c>
      <c r="C31" s="2">
        <f>AVERAGE(C29:C30)</f>
        <v>5.8983504839034305E-3</v>
      </c>
      <c r="D31" s="2">
        <f>AVERAGE(D28:D30,B27)</f>
        <v>2.3451871847796089E-2</v>
      </c>
      <c r="G31" s="3" t="s">
        <v>12</v>
      </c>
      <c r="H31" s="2">
        <f>H28/(25-2)*100</f>
        <v>287.0004950667871</v>
      </c>
      <c r="I31" s="2">
        <f>I28/(25-4)*100</f>
        <v>739.49860262594154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1"/>
  <sheetViews>
    <sheetView zoomScaleNormal="100" workbookViewId="0"/>
  </sheetViews>
  <sheetFormatPr defaultColWidth="8.6328125" defaultRowHeight="14.5" x14ac:dyDescent="0.35"/>
  <cols>
    <col min="1" max="1" width="5" customWidth="1"/>
    <col min="2" max="2" width="12" customWidth="1"/>
    <col min="3" max="4" width="14" customWidth="1"/>
    <col min="5" max="6" width="20" customWidth="1"/>
    <col min="7" max="7" width="8" customWidth="1"/>
    <col min="8" max="9" width="18" customWidth="1"/>
    <col min="10" max="10" width="5" customWidth="1"/>
    <col min="11" max="12" width="14" customWidth="1"/>
  </cols>
  <sheetData>
    <row r="1" spans="1:12" x14ac:dyDescent="0.35">
      <c r="A1" s="1" t="s">
        <v>0</v>
      </c>
      <c r="B1" s="1" t="s">
        <v>1</v>
      </c>
      <c r="C1" s="1" t="s">
        <v>13</v>
      </c>
      <c r="D1" s="1" t="s">
        <v>14</v>
      </c>
      <c r="E1" s="1" t="s">
        <v>15</v>
      </c>
      <c r="F1" s="1" t="s">
        <v>16</v>
      </c>
      <c r="G1" s="1"/>
      <c r="H1" s="1" t="s">
        <v>6</v>
      </c>
      <c r="I1" s="1" t="s">
        <v>6</v>
      </c>
      <c r="K1" s="1" t="s">
        <v>13</v>
      </c>
      <c r="L1" s="1" t="s">
        <v>14</v>
      </c>
    </row>
    <row r="2" spans="1:12" x14ac:dyDescent="0.35">
      <c r="E2" s="1" t="s">
        <v>17</v>
      </c>
      <c r="F2" s="1" t="s">
        <v>18</v>
      </c>
      <c r="H2" s="1" t="s">
        <v>2</v>
      </c>
      <c r="I2" s="1" t="s">
        <v>3</v>
      </c>
      <c r="J2" s="1" t="s">
        <v>19</v>
      </c>
      <c r="K2" s="1">
        <v>0.6</v>
      </c>
      <c r="L2" s="1">
        <v>0.4</v>
      </c>
    </row>
    <row r="3" spans="1:12" x14ac:dyDescent="0.35">
      <c r="A3" s="1">
        <v>1</v>
      </c>
      <c r="B3" s="2">
        <v>8.0595288971316001E-2</v>
      </c>
      <c r="J3" s="3" t="s">
        <v>20</v>
      </c>
      <c r="K3" s="5">
        <v>0.4</v>
      </c>
      <c r="L3" s="5">
        <v>0.3</v>
      </c>
    </row>
    <row r="4" spans="1:12" x14ac:dyDescent="0.35">
      <c r="A4" s="1">
        <v>2</v>
      </c>
      <c r="B4" s="2">
        <v>3.28276475435599E-2</v>
      </c>
      <c r="J4" s="3" t="s">
        <v>21</v>
      </c>
      <c r="L4" s="5">
        <v>0.2</v>
      </c>
    </row>
    <row r="5" spans="1:12" x14ac:dyDescent="0.35">
      <c r="A5" s="1">
        <v>3</v>
      </c>
      <c r="B5" s="2">
        <v>1.3653421179197199E-2</v>
      </c>
      <c r="C5" s="2">
        <f t="shared" ref="C5:C28" si="0">(K$2*B4)+(K$3*B3)</f>
        <v>5.1934704114662333E-2</v>
      </c>
      <c r="E5" s="4">
        <f t="shared" ref="E5:E27" si="1">($B5-C5)^2</f>
        <v>1.4654566231851341E-3</v>
      </c>
      <c r="H5" s="2">
        <f t="shared" ref="H5:H27" si="2">ABS((B5-C5)/B5)</f>
        <v>2.8037868628700737</v>
      </c>
      <c r="J5" s="3" t="s">
        <v>22</v>
      </c>
      <c r="L5" s="5">
        <v>0.1</v>
      </c>
    </row>
    <row r="6" spans="1:12" x14ac:dyDescent="0.35">
      <c r="A6" s="1">
        <v>4</v>
      </c>
      <c r="B6" s="2">
        <v>2.0642715709030001E-3</v>
      </c>
      <c r="C6" s="2">
        <f t="shared" si="0"/>
        <v>2.1323111724942279E-2</v>
      </c>
      <c r="E6" s="4">
        <f t="shared" si="1"/>
        <v>3.7090292407883563E-4</v>
      </c>
      <c r="H6" s="2">
        <f t="shared" si="2"/>
        <v>9.3296058646075544</v>
      </c>
      <c r="J6" s="3" t="s">
        <v>23</v>
      </c>
      <c r="K6" s="5">
        <f>SUM(K2:K3)</f>
        <v>1</v>
      </c>
      <c r="L6" s="5">
        <f>SUM(L2:L5)</f>
        <v>0.99999999999999989</v>
      </c>
    </row>
    <row r="7" spans="1:12" x14ac:dyDescent="0.35">
      <c r="A7" s="1">
        <v>5</v>
      </c>
      <c r="B7" s="2">
        <v>4.1569255254241599E-2</v>
      </c>
      <c r="C7" s="2">
        <f t="shared" si="0"/>
        <v>6.6999314142206804E-3</v>
      </c>
      <c r="D7" s="2">
        <f t="shared" ref="D7:D28" si="3">(L$2*B6)+(L$3*B5)+(L$4*B4)+(L$5*B3)</f>
        <v>1.9546793387963939E-2</v>
      </c>
      <c r="E7" s="4">
        <f t="shared" si="1"/>
        <v>1.2158697450602514E-3</v>
      </c>
      <c r="F7" s="4">
        <f t="shared" ref="F7:F27" si="4">($B7-D7)^2</f>
        <v>4.8498882665165376E-4</v>
      </c>
      <c r="H7" s="2">
        <f t="shared" si="2"/>
        <v>0.83882483885642778</v>
      </c>
      <c r="I7" s="2">
        <f t="shared" ref="I7:I27" si="5">ABS((B7-D7)/B7)</f>
        <v>0.5297776381026349</v>
      </c>
    </row>
    <row r="8" spans="1:12" x14ac:dyDescent="0.35">
      <c r="A8" s="1">
        <v>6</v>
      </c>
      <c r="B8" s="2">
        <v>2.7357781297022501E-2</v>
      </c>
      <c r="C8" s="2">
        <f t="shared" si="0"/>
        <v>2.5767261780906159E-2</v>
      </c>
      <c r="D8" s="2">
        <f t="shared" si="3"/>
        <v>2.3260432563162972E-2</v>
      </c>
      <c r="E8" s="4">
        <f t="shared" si="1"/>
        <v>2.5297523311469648E-6</v>
      </c>
      <c r="F8" s="4">
        <f t="shared" si="4"/>
        <v>1.6788266646860288E-5</v>
      </c>
      <c r="H8" s="2">
        <f t="shared" si="2"/>
        <v>5.8137737810245879E-2</v>
      </c>
      <c r="I8" s="2">
        <f t="shared" si="5"/>
        <v>0.14976904338019056</v>
      </c>
    </row>
    <row r="9" spans="1:12" x14ac:dyDescent="0.35">
      <c r="A9" s="1">
        <v>7</v>
      </c>
      <c r="B9" s="2">
        <v>5.5492918073343299E-2</v>
      </c>
      <c r="C9" s="2">
        <f t="shared" si="0"/>
        <v>3.3042370879910146E-2</v>
      </c>
      <c r="D9" s="2">
        <f t="shared" si="3"/>
        <v>2.5192085527181798E-2</v>
      </c>
      <c r="E9" s="4">
        <f t="shared" si="1"/>
        <v>5.0402706928456917E-4</v>
      </c>
      <c r="F9" s="4">
        <f t="shared" si="4"/>
        <v>9.1814045299052011E-4</v>
      </c>
      <c r="H9" s="2">
        <f t="shared" si="2"/>
        <v>0.40456598738889438</v>
      </c>
      <c r="I9" s="2">
        <f t="shared" si="5"/>
        <v>0.54603062153109005</v>
      </c>
    </row>
    <row r="10" spans="1:12" x14ac:dyDescent="0.35">
      <c r="A10" s="1">
        <v>8</v>
      </c>
      <c r="B10" s="2">
        <v>3.8036718490544401E-2</v>
      </c>
      <c r="C10" s="2">
        <f t="shared" si="0"/>
        <v>4.4238863362814976E-2</v>
      </c>
      <c r="D10" s="2">
        <f t="shared" si="3"/>
        <v>3.8924779826382691E-2</v>
      </c>
      <c r="E10" s="4">
        <f t="shared" si="1"/>
        <v>3.8466601016632188E-5</v>
      </c>
      <c r="F10" s="4">
        <f t="shared" si="4"/>
        <v>7.8865293621088846E-7</v>
      </c>
      <c r="H10" s="2">
        <f t="shared" si="2"/>
        <v>0.16305678087904388</v>
      </c>
      <c r="I10" s="2">
        <f t="shared" si="5"/>
        <v>2.3347475047277137E-2</v>
      </c>
    </row>
    <row r="11" spans="1:12" x14ac:dyDescent="0.35">
      <c r="A11" s="1">
        <v>9</v>
      </c>
      <c r="B11" s="2">
        <v>-3.01396409463679E-2</v>
      </c>
      <c r="C11" s="2">
        <f t="shared" si="0"/>
        <v>4.501919832366396E-2</v>
      </c>
      <c r="D11" s="2">
        <f t="shared" si="3"/>
        <v>4.1491044603049414E-2</v>
      </c>
      <c r="E11" s="4">
        <f t="shared" si="1"/>
        <v>5.6488511204184841E-3</v>
      </c>
      <c r="F11" s="4">
        <f t="shared" si="4"/>
        <v>5.1309551122795029E-3</v>
      </c>
      <c r="H11" s="2">
        <f t="shared" si="2"/>
        <v>2.4936872806074084</v>
      </c>
      <c r="I11" s="2">
        <f t="shared" si="5"/>
        <v>2.3766270366949898</v>
      </c>
    </row>
    <row r="12" spans="1:12" x14ac:dyDescent="0.35">
      <c r="A12" s="1">
        <v>10</v>
      </c>
      <c r="B12" s="2">
        <v>-1.0518067941868599E-2</v>
      </c>
      <c r="C12" s="2">
        <f t="shared" si="0"/>
        <v>-2.8690971716029794E-3</v>
      </c>
      <c r="D12" s="2">
        <f t="shared" si="3"/>
        <v>1.3189520912987069E-2</v>
      </c>
      <c r="E12" s="4">
        <f t="shared" si="1"/>
        <v>5.8506753844377836E-5</v>
      </c>
      <c r="F12" s="4">
        <f t="shared" si="4"/>
        <v>5.6204976931087663E-4</v>
      </c>
      <c r="H12" s="2">
        <f t="shared" si="2"/>
        <v>0.72722203474440894</v>
      </c>
      <c r="I12" s="2">
        <f t="shared" si="5"/>
        <v>2.2539870426663042</v>
      </c>
    </row>
    <row r="13" spans="1:12" x14ac:dyDescent="0.35">
      <c r="A13" s="1">
        <v>11</v>
      </c>
      <c r="B13" s="2">
        <v>6.7394168694730597E-2</v>
      </c>
      <c r="C13" s="2">
        <f t="shared" si="0"/>
        <v>-1.8366697143668322E-2</v>
      </c>
      <c r="D13" s="2">
        <f t="shared" si="3"/>
        <v>-9.2483955214600101E-5</v>
      </c>
      <c r="E13" s="4">
        <f t="shared" si="1"/>
        <v>7.3549261093518595E-3</v>
      </c>
      <c r="F13" s="4">
        <f t="shared" si="4"/>
        <v>4.5544482858943559E-3</v>
      </c>
      <c r="H13" s="2">
        <f t="shared" si="2"/>
        <v>1.2725265033961963</v>
      </c>
      <c r="I13" s="2">
        <f t="shared" si="5"/>
        <v>1.001372284234761</v>
      </c>
    </row>
    <row r="14" spans="1:12" x14ac:dyDescent="0.35">
      <c r="A14" s="1">
        <v>12</v>
      </c>
      <c r="B14" s="2">
        <v>8.6029060196638005E-3</v>
      </c>
      <c r="C14" s="2">
        <f t="shared" si="0"/>
        <v>3.6229274040090922E-2</v>
      </c>
      <c r="D14" s="2">
        <f t="shared" si="3"/>
        <v>2.1577990755112519E-2</v>
      </c>
      <c r="E14" s="4">
        <f t="shared" si="1"/>
        <v>7.6321621000007846E-4</v>
      </c>
      <c r="F14" s="4">
        <f t="shared" si="4"/>
        <v>1.6835282389207436E-4</v>
      </c>
      <c r="H14" s="2">
        <f t="shared" si="2"/>
        <v>3.2112832521105181</v>
      </c>
      <c r="I14" s="2">
        <f t="shared" si="5"/>
        <v>1.5082211412970639</v>
      </c>
    </row>
    <row r="15" spans="1:12" x14ac:dyDescent="0.35">
      <c r="A15" s="1">
        <v>13</v>
      </c>
      <c r="B15" s="2">
        <v>9.6053377349804195E-2</v>
      </c>
      <c r="C15" s="2">
        <f t="shared" si="0"/>
        <v>3.2119411089690519E-2</v>
      </c>
      <c r="D15" s="2">
        <f t="shared" si="3"/>
        <v>1.8541835333274193E-2</v>
      </c>
      <c r="E15" s="4">
        <f t="shared" si="1"/>
        <v>4.0875520417493535E-3</v>
      </c>
      <c r="F15" s="4">
        <f t="shared" si="4"/>
        <v>6.0080391457802956E-3</v>
      </c>
      <c r="H15" s="2">
        <f t="shared" si="2"/>
        <v>0.66560872739831889</v>
      </c>
      <c r="I15" s="2">
        <f t="shared" si="5"/>
        <v>0.80696321311275587</v>
      </c>
    </row>
    <row r="16" spans="1:12" x14ac:dyDescent="0.35">
      <c r="A16" s="1">
        <v>14</v>
      </c>
      <c r="B16" s="2">
        <v>5.6706422403643097E-2</v>
      </c>
      <c r="C16" s="2">
        <f t="shared" si="0"/>
        <v>6.1073188817748036E-2</v>
      </c>
      <c r="D16" s="2">
        <f t="shared" si="3"/>
        <v>5.3429249690580084E-2</v>
      </c>
      <c r="E16" s="4">
        <f t="shared" si="1"/>
        <v>1.9068648915354906E-5</v>
      </c>
      <c r="F16" s="4">
        <f t="shared" si="4"/>
        <v>1.0739860991244792E-5</v>
      </c>
      <c r="H16" s="2">
        <f t="shared" si="2"/>
        <v>7.7006558146478957E-2</v>
      </c>
      <c r="I16" s="2">
        <f t="shared" si="5"/>
        <v>5.779191446315738E-2</v>
      </c>
    </row>
    <row r="17" spans="1:9" x14ac:dyDescent="0.35">
      <c r="A17" s="1">
        <v>15</v>
      </c>
      <c r="B17" s="2">
        <v>-4.8833406298614997E-3</v>
      </c>
      <c r="C17" s="2">
        <f t="shared" si="0"/>
        <v>7.2445204382107539E-2</v>
      </c>
      <c r="D17" s="2">
        <f t="shared" si="3"/>
        <v>5.9958580239804313E-2</v>
      </c>
      <c r="E17" s="4">
        <f t="shared" si="1"/>
        <v>5.9797038736681208E-3</v>
      </c>
      <c r="F17" s="4">
        <f t="shared" si="4"/>
        <v>4.2044747020680024E-3</v>
      </c>
      <c r="H17" s="2">
        <f t="shared" si="2"/>
        <v>15.835173270344283</v>
      </c>
      <c r="I17" s="2">
        <f t="shared" si="5"/>
        <v>13.278189211942163</v>
      </c>
    </row>
    <row r="18" spans="1:9" x14ac:dyDescent="0.35">
      <c r="A18" s="1">
        <v>16</v>
      </c>
      <c r="B18" s="2">
        <v>1.6708949744929E-3</v>
      </c>
      <c r="C18" s="2">
        <f t="shared" si="0"/>
        <v>1.9752564583540341E-2</v>
      </c>
      <c r="D18" s="2">
        <f t="shared" si="3"/>
        <v>3.5129556541075552E-2</v>
      </c>
      <c r="E18" s="4">
        <f t="shared" si="1"/>
        <v>3.2694677585074991E-4</v>
      </c>
      <c r="F18" s="4">
        <f t="shared" si="4"/>
        <v>1.1194820338271149E-3</v>
      </c>
      <c r="H18" s="2">
        <f t="shared" si="2"/>
        <v>10.821547664619105</v>
      </c>
      <c r="I18" s="2">
        <f t="shared" si="5"/>
        <v>20.024395355391515</v>
      </c>
    </row>
    <row r="19" spans="1:9" x14ac:dyDescent="0.35">
      <c r="A19" s="1">
        <v>17</v>
      </c>
      <c r="B19" s="2">
        <v>-3.6430603310120001E-4</v>
      </c>
      <c r="C19" s="2">
        <f t="shared" si="0"/>
        <v>-9.507992672488602E-4</v>
      </c>
      <c r="D19" s="2">
        <f t="shared" si="3"/>
        <v>2.0149978016547752E-2</v>
      </c>
      <c r="E19" s="4">
        <f t="shared" si="1"/>
        <v>3.4397431370098224E-7</v>
      </c>
      <c r="F19" s="4">
        <f t="shared" si="4"/>
        <v>4.2083585006968141E-4</v>
      </c>
      <c r="H19" s="2">
        <f t="shared" si="2"/>
        <v>1.6098916319201861</v>
      </c>
      <c r="I19" s="2">
        <f t="shared" si="5"/>
        <v>56.310580077465588</v>
      </c>
    </row>
    <row r="20" spans="1:9" x14ac:dyDescent="0.35">
      <c r="A20" s="1">
        <v>18</v>
      </c>
      <c r="B20" s="2">
        <v>5.3360572632502497E-2</v>
      </c>
      <c r="C20" s="2">
        <f t="shared" si="0"/>
        <v>4.497743699364401E-4</v>
      </c>
      <c r="D20" s="2">
        <f t="shared" si="3"/>
        <v>5.0495201934993997E-3</v>
      </c>
      <c r="E20" s="4">
        <f t="shared" si="1"/>
        <v>2.7995525727819628E-3</v>
      </c>
      <c r="F20" s="4">
        <f t="shared" si="4"/>
        <v>2.3339577877641072E-3</v>
      </c>
      <c r="H20" s="2">
        <f t="shared" si="2"/>
        <v>0.99157103554652481</v>
      </c>
      <c r="I20" s="2">
        <f t="shared" si="5"/>
        <v>0.90536982748900108</v>
      </c>
    </row>
    <row r="21" spans="1:9" x14ac:dyDescent="0.35">
      <c r="A21" s="1">
        <v>19</v>
      </c>
      <c r="B21" s="2">
        <v>0.10046039669992</v>
      </c>
      <c r="C21" s="2">
        <f t="shared" si="0"/>
        <v>3.1870621166261021E-2</v>
      </c>
      <c r="D21" s="2">
        <f t="shared" si="3"/>
        <v>2.1080782174983069E-2</v>
      </c>
      <c r="E21" s="4">
        <f t="shared" si="1"/>
        <v>4.7045573077577245E-3</v>
      </c>
      <c r="F21" s="4">
        <f t="shared" si="4"/>
        <v>6.3011232021275799E-3</v>
      </c>
      <c r="H21" s="2">
        <f t="shared" si="2"/>
        <v>0.68275437671762251</v>
      </c>
      <c r="I21" s="2">
        <f t="shared" si="5"/>
        <v>0.79015828259217047</v>
      </c>
    </row>
    <row r="22" spans="1:9" x14ac:dyDescent="0.35">
      <c r="A22" s="1">
        <v>20</v>
      </c>
      <c r="B22" s="2">
        <v>3.6153727188599397E-2</v>
      </c>
      <c r="C22" s="2">
        <f t="shared" si="0"/>
        <v>8.1620467072953007E-2</v>
      </c>
      <c r="D22" s="2">
        <f t="shared" si="3"/>
        <v>5.6286558760547799E-2</v>
      </c>
      <c r="E22" s="4">
        <f t="shared" si="1"/>
        <v>2.0672244357114711E-3</v>
      </c>
      <c r="F22" s="4">
        <f t="shared" si="4"/>
        <v>4.0533090710444237E-4</v>
      </c>
      <c r="H22" s="2">
        <f t="shared" si="2"/>
        <v>1.257594815803416</v>
      </c>
      <c r="I22" s="2">
        <f t="shared" si="5"/>
        <v>0.55686738650550605</v>
      </c>
    </row>
    <row r="23" spans="1:9" x14ac:dyDescent="0.35">
      <c r="A23" s="1">
        <v>21</v>
      </c>
      <c r="B23" s="2">
        <v>5.7597738845304697E-2</v>
      </c>
      <c r="C23" s="2">
        <f t="shared" si="0"/>
        <v>6.1876394993127637E-2</v>
      </c>
      <c r="D23" s="2">
        <f t="shared" si="3"/>
        <v>5.5235293808606138E-2</v>
      </c>
      <c r="E23" s="4">
        <f t="shared" si="1"/>
        <v>1.8306898431303041E-5</v>
      </c>
      <c r="F23" s="4">
        <f t="shared" si="4"/>
        <v>5.5811465514216536E-6</v>
      </c>
      <c r="H23" s="2">
        <f t="shared" si="2"/>
        <v>7.4285140937815325E-2</v>
      </c>
      <c r="I23" s="2">
        <f t="shared" si="5"/>
        <v>4.1016280917617005E-2</v>
      </c>
    </row>
    <row r="24" spans="1:9" x14ac:dyDescent="0.35">
      <c r="A24" s="1">
        <v>22</v>
      </c>
      <c r="B24" s="2">
        <v>2.5118724680498999E-2</v>
      </c>
      <c r="C24" s="2">
        <f t="shared" si="0"/>
        <v>4.9020134182622577E-2</v>
      </c>
      <c r="D24" s="2">
        <f t="shared" si="3"/>
        <v>5.9313350297935941E-2</v>
      </c>
      <c r="E24" s="4">
        <f t="shared" si="1"/>
        <v>5.7127737618820323E-4</v>
      </c>
      <c r="F24" s="4">
        <f t="shared" si="4"/>
        <v>1.1692724211166748E-3</v>
      </c>
      <c r="H24" s="2">
        <f t="shared" si="2"/>
        <v>0.95153754046595806</v>
      </c>
      <c r="I24" s="2">
        <f t="shared" si="5"/>
        <v>1.3613201327846094</v>
      </c>
    </row>
    <row r="25" spans="1:9" x14ac:dyDescent="0.35">
      <c r="A25" s="1">
        <v>23</v>
      </c>
      <c r="B25" s="2">
        <v>8.5964688503395906E-2</v>
      </c>
      <c r="C25" s="2">
        <f t="shared" si="0"/>
        <v>3.8110330346421278E-2</v>
      </c>
      <c r="D25" s="2">
        <f t="shared" si="3"/>
        <v>4.4603596633502884E-2</v>
      </c>
      <c r="E25" s="4">
        <f t="shared" si="1"/>
        <v>2.2900395946160042E-3</v>
      </c>
      <c r="F25" s="4">
        <f t="shared" si="4"/>
        <v>1.7107399206697305E-3</v>
      </c>
      <c r="H25" s="2">
        <f t="shared" si="2"/>
        <v>0.55667459500052996</v>
      </c>
      <c r="I25" s="2">
        <f t="shared" si="5"/>
        <v>0.48114048442412621</v>
      </c>
    </row>
    <row r="26" spans="1:9" x14ac:dyDescent="0.35">
      <c r="A26" s="1">
        <v>24</v>
      </c>
      <c r="B26" s="2">
        <v>0.103991305636277</v>
      </c>
      <c r="C26" s="2">
        <f t="shared" si="0"/>
        <v>6.1626302974237143E-2</v>
      </c>
      <c r="D26" s="2">
        <f t="shared" si="3"/>
        <v>5.7056413293428948E-2</v>
      </c>
      <c r="E26" s="4">
        <f t="shared" si="1"/>
        <v>1.7947934505546438E-3</v>
      </c>
      <c r="F26" s="4">
        <f t="shared" si="4"/>
        <v>2.2028841192347362E-3</v>
      </c>
      <c r="H26" s="2">
        <f t="shared" si="2"/>
        <v>0.40738985247686871</v>
      </c>
      <c r="I26" s="2">
        <f t="shared" si="5"/>
        <v>0.45133477318775944</v>
      </c>
    </row>
    <row r="27" spans="1:9" x14ac:dyDescent="0.35">
      <c r="A27" s="1">
        <v>25</v>
      </c>
      <c r="B27" s="2">
        <v>-3.8689356403539099E-2</v>
      </c>
      <c r="C27" s="2">
        <f t="shared" si="0"/>
        <v>9.6780658783124557E-2</v>
      </c>
      <c r="D27" s="2">
        <f t="shared" si="3"/>
        <v>7.8169447626159849E-2</v>
      </c>
      <c r="E27" s="4">
        <f t="shared" si="1"/>
        <v>1.8352125014674883E-2</v>
      </c>
      <c r="F27" s="4">
        <f t="shared" si="4"/>
        <v>1.3655980079251583E-2</v>
      </c>
      <c r="H27" s="2">
        <f t="shared" si="2"/>
        <v>3.5014801945444503</v>
      </c>
      <c r="I27" s="2">
        <f t="shared" si="5"/>
        <v>3.0204380453071926</v>
      </c>
    </row>
    <row r="28" spans="1:9" x14ac:dyDescent="0.35">
      <c r="A28" s="1">
        <v>26</v>
      </c>
      <c r="C28" s="2">
        <f t="shared" si="0"/>
        <v>1.8382908412387339E-2</v>
      </c>
      <c r="D28" s="2">
        <f t="shared" si="3"/>
        <v>3.5426459298196544E-2</v>
      </c>
      <c r="E28" s="4">
        <f>SUM(E5:E27)</f>
        <v>6.0434244873784848E-2</v>
      </c>
      <c r="F28" s="4">
        <f>SUM(F5:F27)</f>
        <v>5.1384953367158676E-2</v>
      </c>
      <c r="G28" s="3" t="s">
        <v>9</v>
      </c>
      <c r="H28" s="2">
        <f>SUM(H5:H27)</f>
        <v>58.735212547192326</v>
      </c>
      <c r="I28" s="2">
        <f>SUM(I7:I27)</f>
        <v>106.47469726853747</v>
      </c>
    </row>
    <row r="29" spans="1:9" x14ac:dyDescent="0.35">
      <c r="A29" s="1">
        <v>27</v>
      </c>
      <c r="C29" s="2">
        <f>(K$2*C28)+(K$3*B27)</f>
        <v>-4.4459975139832363E-3</v>
      </c>
      <c r="D29" s="2">
        <f>(L$2*D28)+(L$3*B27)+(L$4*B26)+(L$5*B25)</f>
        <v>3.1958506775811878E-2</v>
      </c>
      <c r="E29" s="4">
        <f>E28/COUNT(E3:E27)</f>
        <v>2.6275758640776021E-3</v>
      </c>
      <c r="F29" s="4">
        <f>F28/COUNT(F3:F27)</f>
        <v>2.4469025412932701E-3</v>
      </c>
      <c r="G29" s="3" t="s">
        <v>10</v>
      </c>
    </row>
    <row r="30" spans="1:9" x14ac:dyDescent="0.35">
      <c r="A30" s="1">
        <v>28</v>
      </c>
      <c r="C30" s="2">
        <f>(K$2*C29)+(K$3*C28)</f>
        <v>4.685564856564994E-3</v>
      </c>
      <c r="D30" s="2">
        <f>(L$2*D29)+(L$3*D28)+(L$4*B27)+(L$5*B26)</f>
        <v>2.6072599782703591E-2</v>
      </c>
      <c r="E30" s="4">
        <f>(E28/COUNT(E3:E27))^0.5</f>
        <v>5.1259885525404773E-2</v>
      </c>
      <c r="F30" s="4">
        <f>(F28/COUNT(F3:F27))^0.5</f>
        <v>4.9466175729414037E-2</v>
      </c>
      <c r="G30" s="3" t="s">
        <v>11</v>
      </c>
    </row>
    <row r="31" spans="1:9" x14ac:dyDescent="0.35">
      <c r="A31" s="1">
        <v>29</v>
      </c>
      <c r="C31" s="2">
        <f>(K$2*C30)+(K$3*C29)</f>
        <v>1.0329399083457015E-3</v>
      </c>
      <c r="D31" s="2">
        <f>(L$2*D30)+(L$3*D29)+(L$4*D28)+(L$5*B27)</f>
        <v>2.3232948165110401E-2</v>
      </c>
      <c r="G31" s="3" t="s">
        <v>12</v>
      </c>
      <c r="H31" s="2">
        <f>H28/(25-2)*100</f>
        <v>255.3704893356188</v>
      </c>
      <c r="I31" s="2">
        <f>I28/(25-4)*100</f>
        <v>507.02236794541653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2"/>
  <sheetViews>
    <sheetView topLeftCell="A18" zoomScaleNormal="100" workbookViewId="0">
      <selection activeCell="G33" sqref="G33"/>
    </sheetView>
  </sheetViews>
  <sheetFormatPr defaultColWidth="8.6328125" defaultRowHeight="14.5" x14ac:dyDescent="0.35"/>
  <cols>
    <col min="1" max="1" width="5" customWidth="1"/>
    <col min="2" max="5" width="12" customWidth="1"/>
    <col min="6" max="6" width="14" customWidth="1"/>
    <col min="7" max="7" width="9.453125" customWidth="1"/>
    <col min="8" max="8" width="14" customWidth="1"/>
  </cols>
  <sheetData>
    <row r="1" spans="1:8" x14ac:dyDescent="0.35">
      <c r="A1" s="1" t="s">
        <v>0</v>
      </c>
      <c r="B1" s="1" t="s">
        <v>1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6</v>
      </c>
    </row>
    <row r="2" spans="1:8" x14ac:dyDescent="0.35">
      <c r="E2" s="1" t="s">
        <v>29</v>
      </c>
      <c r="G2" s="2">
        <v>0.2</v>
      </c>
    </row>
    <row r="3" spans="1:8" x14ac:dyDescent="0.35">
      <c r="C3" s="2">
        <f>AVERAGE(B4:B15)</f>
        <v>2.7244722350523814E-2</v>
      </c>
    </row>
    <row r="4" spans="1:8" x14ac:dyDescent="0.35">
      <c r="A4" s="1">
        <v>1</v>
      </c>
      <c r="B4" s="2">
        <v>8.0595288971316001E-2</v>
      </c>
      <c r="C4" s="2">
        <f t="shared" ref="C4:C28" si="0">C3+(G$2*(B4-C3))</f>
        <v>3.7914835674682248E-2</v>
      </c>
      <c r="D4" s="2">
        <f t="shared" ref="D4:D32" si="1">C3</f>
        <v>2.7244722350523814E-2</v>
      </c>
      <c r="E4" s="2">
        <f t="shared" ref="E4:E28" si="2">B4-D4</f>
        <v>5.3350566620792184E-2</v>
      </c>
      <c r="F4" s="4">
        <f t="shared" ref="F4:F28" si="3">E4^2</f>
        <v>2.8462829587595851E-3</v>
      </c>
      <c r="H4" s="2">
        <f t="shared" ref="H4:H28" si="4">ABS((B4-D4)/B4)</f>
        <v>0.66195639102156134</v>
      </c>
    </row>
    <row r="5" spans="1:8" x14ac:dyDescent="0.35">
      <c r="A5" s="1">
        <v>2</v>
      </c>
      <c r="B5" s="2">
        <v>3.28276475435599E-2</v>
      </c>
      <c r="C5" s="2">
        <f t="shared" si="0"/>
        <v>3.6897398048457777E-2</v>
      </c>
      <c r="D5" s="2">
        <f t="shared" si="1"/>
        <v>3.7914835674682248E-2</v>
      </c>
      <c r="E5" s="2">
        <f t="shared" si="2"/>
        <v>-5.0871881311223485E-3</v>
      </c>
      <c r="F5" s="4">
        <f t="shared" si="3"/>
        <v>2.5879483081432093E-5</v>
      </c>
      <c r="H5" s="2">
        <f t="shared" si="4"/>
        <v>0.15496657579170178</v>
      </c>
    </row>
    <row r="6" spans="1:8" x14ac:dyDescent="0.35">
      <c r="A6" s="1">
        <v>3</v>
      </c>
      <c r="B6" s="2">
        <v>1.3653421179197199E-2</v>
      </c>
      <c r="C6" s="2">
        <f t="shared" si="0"/>
        <v>3.2248602674605664E-2</v>
      </c>
      <c r="D6" s="2">
        <f t="shared" si="1"/>
        <v>3.6897398048457777E-2</v>
      </c>
      <c r="E6" s="2">
        <f t="shared" si="2"/>
        <v>-2.324397686926058E-2</v>
      </c>
      <c r="F6" s="4">
        <f t="shared" si="3"/>
        <v>5.4028246069872082E-4</v>
      </c>
      <c r="H6" s="2">
        <f t="shared" si="4"/>
        <v>1.7024287586378619</v>
      </c>
    </row>
    <row r="7" spans="1:8" x14ac:dyDescent="0.35">
      <c r="A7" s="1">
        <v>4</v>
      </c>
      <c r="B7" s="2">
        <v>2.0642715709030001E-3</v>
      </c>
      <c r="C7" s="2">
        <f t="shared" si="0"/>
        <v>2.6211736453865132E-2</v>
      </c>
      <c r="D7" s="2">
        <f t="shared" si="1"/>
        <v>3.2248602674605664E-2</v>
      </c>
      <c r="E7" s="2">
        <f t="shared" si="2"/>
        <v>-3.0184331103702663E-2</v>
      </c>
      <c r="F7" s="4">
        <f t="shared" si="3"/>
        <v>9.1109384417795202E-4</v>
      </c>
      <c r="H7" s="2">
        <f t="shared" si="4"/>
        <v>14.622267500636436</v>
      </c>
    </row>
    <row r="8" spans="1:8" x14ac:dyDescent="0.35">
      <c r="A8" s="1">
        <v>5</v>
      </c>
      <c r="B8" s="2">
        <v>4.1569255254241599E-2</v>
      </c>
      <c r="C8" s="2">
        <f t="shared" si="0"/>
        <v>2.9283240213940426E-2</v>
      </c>
      <c r="D8" s="2">
        <f t="shared" si="1"/>
        <v>2.6211736453865132E-2</v>
      </c>
      <c r="E8" s="2">
        <f t="shared" si="2"/>
        <v>1.5357518800376467E-2</v>
      </c>
      <c r="F8" s="4">
        <f t="shared" si="3"/>
        <v>2.3585338370391663E-4</v>
      </c>
      <c r="H8" s="2">
        <f t="shared" si="4"/>
        <v>0.36944416507941724</v>
      </c>
    </row>
    <row r="9" spans="1:8" x14ac:dyDescent="0.35">
      <c r="A9" s="1">
        <v>6</v>
      </c>
      <c r="B9" s="2">
        <v>2.7357781297022501E-2</v>
      </c>
      <c r="C9" s="2">
        <f t="shared" si="0"/>
        <v>2.8898148430556842E-2</v>
      </c>
      <c r="D9" s="2">
        <f t="shared" si="1"/>
        <v>2.9283240213940426E-2</v>
      </c>
      <c r="E9" s="2">
        <f t="shared" si="2"/>
        <v>-1.925458916917925E-3</v>
      </c>
      <c r="F9" s="4">
        <f t="shared" si="3"/>
        <v>3.7073920407387485E-6</v>
      </c>
      <c r="H9" s="2">
        <f t="shared" si="4"/>
        <v>7.038066778929486E-2</v>
      </c>
    </row>
    <row r="10" spans="1:8" x14ac:dyDescent="0.35">
      <c r="A10" s="1">
        <v>7</v>
      </c>
      <c r="B10" s="2">
        <v>5.5492918073343299E-2</v>
      </c>
      <c r="C10" s="2">
        <f t="shared" si="0"/>
        <v>3.4217102359114134E-2</v>
      </c>
      <c r="D10" s="2">
        <f t="shared" si="1"/>
        <v>2.8898148430556842E-2</v>
      </c>
      <c r="E10" s="2">
        <f t="shared" si="2"/>
        <v>2.6594769642786457E-2</v>
      </c>
      <c r="F10" s="4">
        <f t="shared" si="3"/>
        <v>7.0728177235287613E-4</v>
      </c>
      <c r="H10" s="2">
        <f t="shared" si="4"/>
        <v>0.4792461915164915</v>
      </c>
    </row>
    <row r="11" spans="1:8" x14ac:dyDescent="0.35">
      <c r="A11" s="1">
        <v>8</v>
      </c>
      <c r="B11" s="2">
        <v>3.8036718490544401E-2</v>
      </c>
      <c r="C11" s="2">
        <f t="shared" si="0"/>
        <v>3.4981025585400186E-2</v>
      </c>
      <c r="D11" s="2">
        <f t="shared" si="1"/>
        <v>3.4217102359114134E-2</v>
      </c>
      <c r="E11" s="2">
        <f t="shared" si="2"/>
        <v>3.8196161314302673E-3</v>
      </c>
      <c r="F11" s="4">
        <f t="shared" si="3"/>
        <v>1.4589467391482321E-5</v>
      </c>
      <c r="H11" s="2">
        <f t="shared" si="4"/>
        <v>0.10041918133342104</v>
      </c>
    </row>
    <row r="12" spans="1:8" x14ac:dyDescent="0.35">
      <c r="A12" s="1">
        <v>9</v>
      </c>
      <c r="B12" s="2">
        <v>-3.01396409463679E-2</v>
      </c>
      <c r="C12" s="2">
        <f t="shared" si="0"/>
        <v>2.1956892279046569E-2</v>
      </c>
      <c r="D12" s="2">
        <f t="shared" si="1"/>
        <v>3.4981025585400186E-2</v>
      </c>
      <c r="E12" s="2">
        <f t="shared" si="2"/>
        <v>-6.5120666531768082E-2</v>
      </c>
      <c r="F12" s="4">
        <f t="shared" si="3"/>
        <v>4.2407012095417394E-3</v>
      </c>
      <c r="H12" s="2">
        <f t="shared" si="4"/>
        <v>2.1606317954366911</v>
      </c>
    </row>
    <row r="13" spans="1:8" x14ac:dyDescent="0.35">
      <c r="A13" s="1">
        <v>10</v>
      </c>
      <c r="B13" s="2">
        <v>-1.0518067941868599E-2</v>
      </c>
      <c r="C13" s="2">
        <f t="shared" si="0"/>
        <v>1.5461900234863536E-2</v>
      </c>
      <c r="D13" s="2">
        <f t="shared" si="1"/>
        <v>2.1956892279046569E-2</v>
      </c>
      <c r="E13" s="2">
        <f t="shared" si="2"/>
        <v>-3.2474960220915172E-2</v>
      </c>
      <c r="F13" s="4">
        <f t="shared" si="3"/>
        <v>1.0546230413500228E-3</v>
      </c>
      <c r="H13" s="2">
        <f t="shared" si="4"/>
        <v>3.0875404494816179</v>
      </c>
    </row>
    <row r="14" spans="1:8" x14ac:dyDescent="0.35">
      <c r="A14" s="1">
        <v>11</v>
      </c>
      <c r="B14" s="2">
        <v>6.7394168694730597E-2</v>
      </c>
      <c r="C14" s="2">
        <f t="shared" si="0"/>
        <v>2.5848353926836948E-2</v>
      </c>
      <c r="D14" s="2">
        <f t="shared" si="1"/>
        <v>1.5461900234863536E-2</v>
      </c>
      <c r="E14" s="2">
        <f t="shared" si="2"/>
        <v>5.1932268459867065E-2</v>
      </c>
      <c r="F14" s="4">
        <f t="shared" si="3"/>
        <v>2.6969605073877034E-3</v>
      </c>
      <c r="H14" s="2">
        <f t="shared" si="4"/>
        <v>0.77057510264871831</v>
      </c>
    </row>
    <row r="15" spans="1:8" x14ac:dyDescent="0.35">
      <c r="A15" s="1">
        <v>12</v>
      </c>
      <c r="B15" s="2">
        <v>8.6029060196638005E-3</v>
      </c>
      <c r="C15" s="2">
        <f t="shared" si="0"/>
        <v>2.239926434540232E-2</v>
      </c>
      <c r="D15" s="2">
        <f t="shared" si="1"/>
        <v>2.5848353926836948E-2</v>
      </c>
      <c r="E15" s="2">
        <f t="shared" si="2"/>
        <v>-1.7245447907173146E-2</v>
      </c>
      <c r="F15" s="4">
        <f t="shared" si="3"/>
        <v>2.9740547351902265E-4</v>
      </c>
      <c r="H15" s="2">
        <f t="shared" si="4"/>
        <v>2.004607265004982</v>
      </c>
    </row>
    <row r="16" spans="1:8" x14ac:dyDescent="0.35">
      <c r="A16" s="1">
        <v>13</v>
      </c>
      <c r="B16" s="2">
        <v>9.6053377349804195E-2</v>
      </c>
      <c r="C16" s="2">
        <f t="shared" si="0"/>
        <v>3.7130086946282698E-2</v>
      </c>
      <c r="D16" s="2">
        <f t="shared" si="1"/>
        <v>2.239926434540232E-2</v>
      </c>
      <c r="E16" s="2">
        <f t="shared" si="2"/>
        <v>7.3654113004401875E-2</v>
      </c>
      <c r="F16" s="4">
        <f t="shared" si="3"/>
        <v>5.4249283624652018E-3</v>
      </c>
      <c r="H16" s="2">
        <f t="shared" si="4"/>
        <v>0.76680398999579813</v>
      </c>
    </row>
    <row r="17" spans="1:8" x14ac:dyDescent="0.35">
      <c r="A17" s="1">
        <v>14</v>
      </c>
      <c r="B17" s="2">
        <v>5.6706422403643097E-2</v>
      </c>
      <c r="C17" s="2">
        <f t="shared" si="0"/>
        <v>4.1045354037754778E-2</v>
      </c>
      <c r="D17" s="2">
        <f t="shared" si="1"/>
        <v>3.7130086946282698E-2</v>
      </c>
      <c r="E17" s="2">
        <f t="shared" si="2"/>
        <v>1.95763354573604E-2</v>
      </c>
      <c r="F17" s="4">
        <f t="shared" si="3"/>
        <v>3.83232909939106E-4</v>
      </c>
      <c r="H17" s="2">
        <f t="shared" si="4"/>
        <v>0.34522254495291033</v>
      </c>
    </row>
    <row r="18" spans="1:8" x14ac:dyDescent="0.35">
      <c r="A18" s="1">
        <v>15</v>
      </c>
      <c r="B18" s="2">
        <v>-4.8833406298614997E-3</v>
      </c>
      <c r="C18" s="2">
        <f t="shared" si="0"/>
        <v>3.185961510423152E-2</v>
      </c>
      <c r="D18" s="2">
        <f t="shared" si="1"/>
        <v>4.1045354037754778E-2</v>
      </c>
      <c r="E18" s="2">
        <f t="shared" si="2"/>
        <v>-4.5928694667616274E-2</v>
      </c>
      <c r="F18" s="4">
        <f t="shared" si="3"/>
        <v>2.1094449938711237E-3</v>
      </c>
      <c r="H18" s="2">
        <f t="shared" si="4"/>
        <v>9.4051793943603919</v>
      </c>
    </row>
    <row r="19" spans="1:8" x14ac:dyDescent="0.35">
      <c r="A19" s="1">
        <v>16</v>
      </c>
      <c r="B19" s="2">
        <v>1.6708949744929E-3</v>
      </c>
      <c r="C19" s="2">
        <f t="shared" si="0"/>
        <v>2.5821871078283796E-2</v>
      </c>
      <c r="D19" s="2">
        <f t="shared" si="1"/>
        <v>3.185961510423152E-2</v>
      </c>
      <c r="E19" s="2">
        <f t="shared" si="2"/>
        <v>-3.0188720129738621E-2</v>
      </c>
      <c r="F19" s="4">
        <f t="shared" si="3"/>
        <v>9.1135882307168581E-4</v>
      </c>
      <c r="H19" s="2">
        <f t="shared" si="4"/>
        <v>18.067395372291784</v>
      </c>
    </row>
    <row r="20" spans="1:8" x14ac:dyDescent="0.35">
      <c r="A20" s="1">
        <v>17</v>
      </c>
      <c r="B20" s="2">
        <v>-3.6430603310120001E-4</v>
      </c>
      <c r="C20" s="2">
        <f t="shared" si="0"/>
        <v>2.0584635656006794E-2</v>
      </c>
      <c r="D20" s="2">
        <f t="shared" si="1"/>
        <v>2.5821871078283796E-2</v>
      </c>
      <c r="E20" s="2">
        <f t="shared" si="2"/>
        <v>-2.6186177111384996E-2</v>
      </c>
      <c r="F20" s="4">
        <f t="shared" si="3"/>
        <v>6.8571587170882344E-4</v>
      </c>
      <c r="H20" s="2">
        <f t="shared" si="4"/>
        <v>71.879614203673583</v>
      </c>
    </row>
    <row r="21" spans="1:8" x14ac:dyDescent="0.35">
      <c r="A21" s="1">
        <v>18</v>
      </c>
      <c r="B21" s="2">
        <v>5.3360572632502497E-2</v>
      </c>
      <c r="C21" s="2">
        <f t="shared" si="0"/>
        <v>2.7139823051305936E-2</v>
      </c>
      <c r="D21" s="2">
        <f t="shared" si="1"/>
        <v>2.0584635656006794E-2</v>
      </c>
      <c r="E21" s="2">
        <f t="shared" si="2"/>
        <v>3.2775936976495702E-2</v>
      </c>
      <c r="F21" s="4">
        <f t="shared" si="3"/>
        <v>1.0742620446872182E-3</v>
      </c>
      <c r="H21" s="2">
        <f t="shared" si="4"/>
        <v>0.6142351058004113</v>
      </c>
    </row>
    <row r="22" spans="1:8" x14ac:dyDescent="0.35">
      <c r="A22" s="1">
        <v>19</v>
      </c>
      <c r="B22" s="2">
        <v>0.10046039669992</v>
      </c>
      <c r="C22" s="2">
        <f t="shared" si="0"/>
        <v>4.1803937781028748E-2</v>
      </c>
      <c r="D22" s="2">
        <f t="shared" si="1"/>
        <v>2.7139823051305936E-2</v>
      </c>
      <c r="E22" s="2">
        <f t="shared" si="2"/>
        <v>7.3320573648614065E-2</v>
      </c>
      <c r="F22" s="4">
        <f t="shared" si="3"/>
        <v>5.3759065201618396E-3</v>
      </c>
      <c r="H22" s="2">
        <f t="shared" si="4"/>
        <v>0.72984555165182274</v>
      </c>
    </row>
    <row r="23" spans="1:8" x14ac:dyDescent="0.35">
      <c r="A23" s="1">
        <v>20</v>
      </c>
      <c r="B23" s="2">
        <v>3.6153727188599397E-2</v>
      </c>
      <c r="C23" s="2">
        <f t="shared" si="0"/>
        <v>4.0673895662542876E-2</v>
      </c>
      <c r="D23" s="2">
        <f t="shared" si="1"/>
        <v>4.1803937781028748E-2</v>
      </c>
      <c r="E23" s="2">
        <f t="shared" si="2"/>
        <v>-5.6502105924293514E-3</v>
      </c>
      <c r="F23" s="4">
        <f t="shared" si="3"/>
        <v>3.1924879738800845E-5</v>
      </c>
      <c r="H23" s="2">
        <f t="shared" si="4"/>
        <v>0.15628293489505202</v>
      </c>
    </row>
    <row r="24" spans="1:8" x14ac:dyDescent="0.35">
      <c r="A24" s="1">
        <v>21</v>
      </c>
      <c r="B24" s="2">
        <v>5.7597738845304697E-2</v>
      </c>
      <c r="C24" s="2">
        <f t="shared" si="0"/>
        <v>4.4058664299095239E-2</v>
      </c>
      <c r="D24" s="2">
        <f t="shared" si="1"/>
        <v>4.0673895662542876E-2</v>
      </c>
      <c r="E24" s="2">
        <f t="shared" si="2"/>
        <v>1.692384318276182E-2</v>
      </c>
      <c r="F24" s="4">
        <f t="shared" si="3"/>
        <v>2.8641646807471376E-4</v>
      </c>
      <c r="H24" s="2">
        <f t="shared" si="4"/>
        <v>0.29382825649138195</v>
      </c>
    </row>
    <row r="25" spans="1:8" x14ac:dyDescent="0.35">
      <c r="A25" s="1">
        <v>22</v>
      </c>
      <c r="B25" s="2">
        <v>2.5118724680498999E-2</v>
      </c>
      <c r="C25" s="2">
        <f t="shared" si="0"/>
        <v>4.0270676375375992E-2</v>
      </c>
      <c r="D25" s="2">
        <f t="shared" si="1"/>
        <v>4.4058664299095239E-2</v>
      </c>
      <c r="E25" s="2">
        <f t="shared" si="2"/>
        <v>-1.893993961859624E-2</v>
      </c>
      <c r="F25" s="4">
        <f t="shared" si="3"/>
        <v>3.5872131275607147E-4</v>
      </c>
      <c r="H25" s="2">
        <f t="shared" si="4"/>
        <v>0.75401676874544199</v>
      </c>
    </row>
    <row r="26" spans="1:8" x14ac:dyDescent="0.35">
      <c r="A26" s="1">
        <v>23</v>
      </c>
      <c r="B26" s="2">
        <v>8.5964688503395906E-2</v>
      </c>
      <c r="C26" s="2">
        <f t="shared" si="0"/>
        <v>4.9409478800979977E-2</v>
      </c>
      <c r="D26" s="2">
        <f t="shared" si="1"/>
        <v>4.0270676375375992E-2</v>
      </c>
      <c r="E26" s="2">
        <f t="shared" si="2"/>
        <v>4.5694012128019913E-2</v>
      </c>
      <c r="F26" s="4">
        <f t="shared" si="3"/>
        <v>2.0879427443556311E-3</v>
      </c>
      <c r="H26" s="2">
        <f t="shared" si="4"/>
        <v>0.53154397373538831</v>
      </c>
    </row>
    <row r="27" spans="1:8" x14ac:dyDescent="0.35">
      <c r="A27" s="1">
        <v>24</v>
      </c>
      <c r="B27" s="2">
        <v>0.103991305636277</v>
      </c>
      <c r="C27" s="2">
        <f t="shared" si="0"/>
        <v>6.0325844168039378E-2</v>
      </c>
      <c r="D27" s="2">
        <f t="shared" si="1"/>
        <v>4.9409478800979977E-2</v>
      </c>
      <c r="E27" s="2">
        <f t="shared" si="2"/>
        <v>5.4581826835297019E-2</v>
      </c>
      <c r="F27" s="4">
        <f t="shared" si="3"/>
        <v>2.9791758206783496E-3</v>
      </c>
      <c r="H27" s="2">
        <f t="shared" si="4"/>
        <v>0.52486913690846426</v>
      </c>
    </row>
    <row r="28" spans="1:8" x14ac:dyDescent="0.35">
      <c r="A28" s="1">
        <v>25</v>
      </c>
      <c r="B28" s="2">
        <v>-3.8689356403539099E-2</v>
      </c>
      <c r="C28" s="2">
        <f t="shared" si="0"/>
        <v>4.0522804053723681E-2</v>
      </c>
      <c r="D28" s="2">
        <f t="shared" si="1"/>
        <v>6.0325844168039378E-2</v>
      </c>
      <c r="E28" s="2">
        <f t="shared" si="2"/>
        <v>-9.9015200571578477E-2</v>
      </c>
      <c r="F28" s="4">
        <f t="shared" si="3"/>
        <v>9.8040099442299154E-3</v>
      </c>
      <c r="H28" s="2">
        <f t="shared" si="4"/>
        <v>2.5592361769688443</v>
      </c>
    </row>
    <row r="29" spans="1:8" x14ac:dyDescent="0.35">
      <c r="A29" s="1">
        <v>26</v>
      </c>
      <c r="C29" s="2">
        <f>C28+(G$2*(D29-C28))</f>
        <v>4.0522804053723681E-2</v>
      </c>
      <c r="D29" s="2">
        <f t="shared" si="1"/>
        <v>4.0522804053723681E-2</v>
      </c>
      <c r="F29" s="4">
        <f>SUM(F4:F28)</f>
        <v>4.5087701689743673E-2</v>
      </c>
      <c r="G29" s="3" t="s">
        <v>9</v>
      </c>
      <c r="H29" s="2">
        <f>SUM(H4:H28)</f>
        <v>132.81253745484949</v>
      </c>
    </row>
    <row r="30" spans="1:8" x14ac:dyDescent="0.35">
      <c r="A30" s="1">
        <v>27</v>
      </c>
      <c r="C30" s="2">
        <f>C29+(G$2*(D30-C29))</f>
        <v>4.0522804053723681E-2</v>
      </c>
      <c r="D30" s="2">
        <f t="shared" si="1"/>
        <v>4.0522804053723681E-2</v>
      </c>
      <c r="F30" s="4">
        <f>SQRT(F29/(25-1))</f>
        <v>4.3343445145404086E-2</v>
      </c>
      <c r="G30" s="3" t="s">
        <v>30</v>
      </c>
    </row>
    <row r="31" spans="1:8" x14ac:dyDescent="0.35">
      <c r="A31" s="1">
        <v>28</v>
      </c>
      <c r="C31" s="2">
        <f>C30+(G$2*(D31-C30))</f>
        <v>4.0522804053723681E-2</v>
      </c>
      <c r="D31" s="2">
        <f t="shared" si="1"/>
        <v>4.0522804053723681E-2</v>
      </c>
      <c r="F31" s="4">
        <f>SQRT(F29/25)</f>
        <v>4.2467729720221059E-2</v>
      </c>
      <c r="G31" s="3" t="s">
        <v>11</v>
      </c>
    </row>
    <row r="32" spans="1:8" x14ac:dyDescent="0.35">
      <c r="A32" s="1">
        <v>29</v>
      </c>
      <c r="C32" s="2">
        <f>C31+(G$2*(D32-C31))</f>
        <v>4.0522804053723681E-2</v>
      </c>
      <c r="D32" s="2">
        <f t="shared" si="1"/>
        <v>4.0522804053723681E-2</v>
      </c>
      <c r="G32" s="3" t="s">
        <v>12</v>
      </c>
      <c r="H32" s="2">
        <f>H29/25*100</f>
        <v>531.25014981939796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6"/>
  <sheetViews>
    <sheetView tabSelected="1" zoomScaleNormal="100" workbookViewId="0">
      <selection activeCell="M9" sqref="M9"/>
    </sheetView>
  </sheetViews>
  <sheetFormatPr defaultColWidth="8.6328125" defaultRowHeight="14.5" x14ac:dyDescent="0.35"/>
  <cols>
    <col min="1" max="2" width="5" customWidth="1"/>
    <col min="3" max="3" width="12" customWidth="1"/>
    <col min="4" max="4" width="20" customWidth="1"/>
    <col min="5" max="5" width="16" customWidth="1"/>
    <col min="6" max="8" width="12" customWidth="1"/>
    <col min="9" max="9" width="9.90625" customWidth="1"/>
  </cols>
  <sheetData>
    <row r="1" spans="1:9" x14ac:dyDescent="0.35">
      <c r="A1" s="1" t="s">
        <v>0</v>
      </c>
      <c r="B1" s="1" t="s">
        <v>0</v>
      </c>
      <c r="C1" s="1" t="s">
        <v>25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30</v>
      </c>
      <c r="I1" s="1" t="s">
        <v>28</v>
      </c>
    </row>
    <row r="2" spans="1:9" x14ac:dyDescent="0.35">
      <c r="D2" s="1" t="s">
        <v>35</v>
      </c>
      <c r="F2" s="1" t="s">
        <v>36</v>
      </c>
      <c r="G2" s="1" t="s">
        <v>37</v>
      </c>
      <c r="H2" s="2">
        <f>SES!F30</f>
        <v>4.3343445145404086E-2</v>
      </c>
      <c r="I2" s="2">
        <f>SES!G2</f>
        <v>0.2</v>
      </c>
    </row>
    <row r="3" spans="1:9" x14ac:dyDescent="0.35">
      <c r="A3" s="1">
        <f>SES!A29</f>
        <v>26</v>
      </c>
      <c r="B3" s="1">
        <v>1</v>
      </c>
      <c r="C3" s="2">
        <f>SES!D29</f>
        <v>4.0522804053723681E-2</v>
      </c>
      <c r="D3" s="2">
        <f>H$2*SQRT(1+((B3-1)*(I$2^2)))</f>
        <v>4.3343445145404086E-2</v>
      </c>
      <c r="E3" s="2">
        <f>1.96*D3</f>
        <v>8.4953152484992009E-2</v>
      </c>
      <c r="F3" s="2">
        <f>$C$3-$E3</f>
        <v>-4.4430348431268328E-2</v>
      </c>
      <c r="G3" s="2">
        <f>$C$3+$E3</f>
        <v>0.12547595653871568</v>
      </c>
    </row>
    <row r="4" spans="1:9" x14ac:dyDescent="0.35">
      <c r="A4" s="1">
        <f>SES!A30</f>
        <v>27</v>
      </c>
      <c r="B4" s="1">
        <v>2</v>
      </c>
      <c r="C4" s="2">
        <f>SES!D30</f>
        <v>4.0522804053723681E-2</v>
      </c>
      <c r="D4" s="2">
        <f>H$2*SQRT(1+((B4-1)*(I$2^2)))</f>
        <v>4.420181451655078E-2</v>
      </c>
      <c r="E4" s="2">
        <f>1.96*D4</f>
        <v>8.6635556452439533E-2</v>
      </c>
      <c r="F4" s="2">
        <f>$C$3-$E4</f>
        <v>-4.6112752398715852E-2</v>
      </c>
      <c r="G4" s="2">
        <f>$C$3+$E4</f>
        <v>0.12715836050616322</v>
      </c>
    </row>
    <row r="5" spans="1:9" x14ac:dyDescent="0.35">
      <c r="A5" s="1">
        <f>SES!A31</f>
        <v>28</v>
      </c>
      <c r="B5" s="1">
        <v>3</v>
      </c>
      <c r="C5" s="2">
        <f>SES!D31</f>
        <v>4.0522804053723681E-2</v>
      </c>
      <c r="D5" s="2">
        <f>H$2*SQRT(1+((B5-1)*(I$2^2)))</f>
        <v>4.5043829500148694E-2</v>
      </c>
      <c r="E5" s="2">
        <f>1.96*D5</f>
        <v>8.8285905820291444E-2</v>
      </c>
      <c r="F5" s="2">
        <f>$C$3-$E5</f>
        <v>-4.7763101766567763E-2</v>
      </c>
      <c r="G5" s="2">
        <f>$C$3+$E5</f>
        <v>0.12880870987401513</v>
      </c>
    </row>
    <row r="6" spans="1:9" x14ac:dyDescent="0.35">
      <c r="A6" s="1">
        <f>SES!A32</f>
        <v>29</v>
      </c>
      <c r="B6" s="1">
        <v>4</v>
      </c>
      <c r="C6" s="2">
        <f>SES!D32</f>
        <v>4.0522804053723681E-2</v>
      </c>
      <c r="D6" s="2">
        <f>H$2*SQRT(1+((B6-1)*(I$2^2)))</f>
        <v>4.5870390727803613E-2</v>
      </c>
      <c r="E6" s="2">
        <f>1.96*D6</f>
        <v>8.9905965826495085E-2</v>
      </c>
      <c r="F6" s="2">
        <f>$C$3-$E6</f>
        <v>-4.9383161772771404E-2</v>
      </c>
      <c r="G6" s="2">
        <f>$C$3+$E6</f>
        <v>0.13042876988021876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</vt:lpstr>
      <vt:lpstr>WMA</vt:lpstr>
      <vt:lpstr>SES</vt:lpstr>
      <vt:lpstr>SESF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Kanokphan Sirithienthong</cp:lastModifiedBy>
  <cp:revision>0</cp:revision>
  <dcterms:created xsi:type="dcterms:W3CDTF">2026-03-24T14:57:29Z</dcterms:created>
  <dcterms:modified xsi:type="dcterms:W3CDTF">2026-03-24T15:16:35Z</dcterms:modified>
  <dc:language>en-US</dc:language>
</cp:coreProperties>
</file>