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Cost " sheetId="2" r:id="rId6"/>
  </sheets>
  <definedNames/>
  <calcPr/>
</workbook>
</file>

<file path=xl/sharedStrings.xml><?xml version="1.0" encoding="utf-8"?>
<sst xmlns="http://schemas.openxmlformats.org/spreadsheetml/2006/main" count="99" uniqueCount="90">
  <si>
    <t>Im-Prahyad</t>
  </si>
  <si>
    <t>Income Statement</t>
  </si>
  <si>
    <t>Month 1</t>
  </si>
  <si>
    <t>Month 2</t>
  </si>
  <si>
    <t>Month 3</t>
  </si>
  <si>
    <t>Month 4</t>
  </si>
  <si>
    <t>Month 5</t>
  </si>
  <si>
    <t>Month 6</t>
  </si>
  <si>
    <t>Average</t>
  </si>
  <si>
    <t>กระดาษทด</t>
  </si>
  <si>
    <t>รายการค่าใช้จ่าย</t>
  </si>
  <si>
    <t>จำนวนหน่วย</t>
  </si>
  <si>
    <t>ค่าใช้จ่ายทั้งสิ้น</t>
  </si>
  <si>
    <t>Revenue</t>
  </si>
  <si>
    <t>ต้นทุนวัตถุดิบจากร้านอาหาร เรท 30บาทต่อกิโล</t>
  </si>
  <si>
    <t>Cost Allocation</t>
  </si>
  <si>
    <t>ประมาณการค่าใช้จ่าย</t>
  </si>
  <si>
    <t>Cost Allocation (per month)</t>
  </si>
  <si>
    <t>อุุปกรณ์ครัว</t>
  </si>
  <si>
    <t>Gross Profit</t>
  </si>
  <si>
    <t>- ตู้โชว์อุ่นอาหารไฟฟ้า</t>
  </si>
  <si>
    <t>Marketing Expenses</t>
  </si>
  <si>
    <t>เรารับซื้อจาก  hotel, restaurants etc.</t>
  </si>
  <si>
    <t>เศษอาหาร (ตีเว่อๆ 30 บาท/กิโล)</t>
  </si>
  <si>
    <t>- เครื่องทำความสะอาด Ultrasonic ขนาด 6 ลิตร</t>
  </si>
  <si>
    <t>รถรับจ้างขนของ กระบะ 6 ล้อ ราคาเท่าไหร่ คำนวณง่ายๆไปต่างจังหวัด</t>
  </si>
  <si>
    <t>- อุปกรณ์ทั่วไป</t>
  </si>
  <si>
    <t>Operating Cost</t>
  </si>
  <si>
    <t>รวมทุกขั้นตอนของการทำอาหาร</t>
  </si>
  <si>
    <t>อุปกรณ์ครัว</t>
  </si>
  <si>
    <t>ตัวกรองอากาศ</t>
  </si>
  <si>
    <t>Operating Profit</t>
  </si>
  <si>
    <t>https://shope.ee/7zmPiJrpGJ</t>
  </si>
  <si>
    <t>ตู้โชว์อุ่นอาหารไฟฟ้า *2 4,652</t>
  </si>
  <si>
    <t>ค่าเช่าสถานที่</t>
  </si>
  <si>
    <t>Net income</t>
  </si>
  <si>
    <t>https://bitly.ws/33L2J</t>
  </si>
  <si>
    <t>เครื่องทำความสะอาด ultrasonic ขนาด 6 ลิตร *2</t>
  </si>
  <si>
    <t>เเพ๊คเกจสินค้า</t>
  </si>
  <si>
    <t>https://kitchenwaremarket.com/tn-thn-khay-xahar-tam-sng/a-486.html</t>
  </si>
  <si>
    <t>อุปกรณ์ครััวทั่วไป อ้างอิงจากการลงทุนร้านอาหารตามสั่ง *2\</t>
  </si>
  <si>
    <t>พนักงาน</t>
  </si>
  <si>
    <t>KPI</t>
  </si>
  <si>
    <t>Impact in one year</t>
  </si>
  <si>
    <t>สัญญา 6 เดือน (ตลาดจุตจักร)</t>
  </si>
  <si>
    <t>ค่าเช่าที่</t>
  </si>
  <si>
    <t>- พนักงานทำความสะอาด</t>
  </si>
  <si>
    <t>ROI</t>
  </si>
  <si>
    <t>Market Share</t>
  </si>
  <si>
    <t>จตุจักร 6,500-15,000 บาทต่อเดือน</t>
  </si>
  <si>
    <t>- เชฟ</t>
  </si>
  <si>
    <t xml:space="preserve">B/C Ratio </t>
  </si>
  <si>
    <t>Number of sale</t>
  </si>
  <si>
    <t>อนุสาวรีย์ 2,600 ต่อวัน (?)</t>
  </si>
  <si>
    <t>- นักโภชนาการ</t>
  </si>
  <si>
    <t xml:space="preserve">ตัวโปรโมทsuppliers+track eco-friendly ราคากล่อง 4.5 ตีคร่าวๆ </t>
  </si>
  <si>
    <t xml:space="preserve">เเพ๊คเกจสินค้า (~4-5 บาทต่อกล่อง) </t>
  </si>
  <si>
    <t>ค่าไฟรายเดือน</t>
  </si>
  <si>
    <t>Awareness</t>
  </si>
  <si>
    <t>เชฟ พนักงานทำความสะอาด</t>
  </si>
  <si>
    <t>ค่าน้ำรายเดือน</t>
  </si>
  <si>
    <t>เงินเดือน (2) เชฟคนละ 19,000 (3) พนักงาน 10,500 24,000 นักโภชนาการ (1)</t>
  </si>
  <si>
    <t>ค่าขนส่งวัตถุดิบ</t>
  </si>
  <si>
    <t xml:space="preserve">ค่าไฟรายเดือน </t>
  </si>
  <si>
    <t>ยอดค่าใช้จ่ายเริ่มต้นทั้งหมด</t>
  </si>
  <si>
    <t>Expected Customer Growth</t>
  </si>
  <si>
    <t>Number of customers</t>
  </si>
  <si>
    <t>JWD Express 2,220-3,000</t>
  </si>
  <si>
    <t>ค่าขนส่งเศษอาหาร</t>
  </si>
  <si>
    <t>https://bitly.ws/33LCY</t>
  </si>
  <si>
    <t>ตัวกรองอากาศ *2</t>
  </si>
  <si>
    <t>รวมยอดค่าใช้จ่าย</t>
  </si>
  <si>
    <t>Installation Expenses พวกอุปกรณ์เครื่องครัว จ่ายรอบเดียวจบ</t>
  </si>
  <si>
    <t>ราคาต่อจาน</t>
  </si>
  <si>
    <t>รอดูกำไรก่อนค่อยคิดจำนวนที่จะเเยก</t>
  </si>
  <si>
    <t>ยอดบริจาค</t>
  </si>
  <si>
    <t>ประมาณการยอดเเต่ละวัน</t>
  </si>
  <si>
    <t>อ้างอิงจาก online news centent ที่เกี่ยวกับ SDGs</t>
  </si>
  <si>
    <t>SDGs awareness</t>
  </si>
  <si>
    <t>https://www.mdpi.com/2673-4931/15/1/15#B4-environsciproc-15-00015</t>
  </si>
  <si>
    <t>https://www.youtube.com/watch?v=GY2Ufaa2Ixg</t>
  </si>
  <si>
    <t>ปริมาณนักท่องเที่ยวตลาดจตุจักร</t>
  </si>
  <si>
    <t>คนที่สนใจ SDGs ภายในตลาดจตุจักร</t>
  </si>
  <si>
    <t>https://pantip.com/topic/31296896</t>
  </si>
  <si>
    <t>ปริมาณการบริโภคต่อคนต่อมื้อ</t>
  </si>
  <si>
    <t>คาดหวัง%ลูกค้าต่อวัน</t>
  </si>
  <si>
    <t>คาดหวังลูกค้า</t>
  </si>
  <si>
    <t>ปริมาณอาหารที่ี่ใช้</t>
  </si>
  <si>
    <t>ตัวอย่าง ร้านbuffet premium Goji Kitchen and Bar มี waste 1.4 ตัน ปี 2019</t>
  </si>
  <si>
    <t>https://tdri.or.th/wp-content/uploads/2019/09/final_food_waste_management.pdf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</si>
</sst>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[$฿-41E]* #,##0.00_);_([$฿-41E]* \(#,##0.00\);_([$฿-41E]* &quot;-&quot;??_);_(@_)"/>
    <numFmt numFmtId="165" formatCode="[$฿-41E]#,##0.00"/>
  </numFmts>
  <fonts count="15">
    <font>
      <sz val="10.0"/>
      <color rgb="FF000000"/>
      <name val="Arial"/>
      <scheme val="minor"/>
    </font>
    <font>
      <sz val="10.0"/>
      <color theme="1"/>
      <name val="Sarabun"/>
    </font>
    <font>
      <b/>
      <color theme="1"/>
      <name val="Arial"/>
    </font>
    <font>
      <b/>
      <sz val="10.0"/>
      <color theme="1"/>
      <name val="Sarabun"/>
    </font>
    <font>
      <color theme="1"/>
      <name val="Arial"/>
    </font>
    <font>
      <b/>
      <color theme="1"/>
      <name val="Sarabun"/>
    </font>
    <font>
      <color theme="1"/>
      <name val="Sarabun"/>
    </font>
    <font>
      <u/>
      <color rgb="FF1155CC"/>
      <name val="Docs-Sarabun"/>
    </font>
    <font>
      <u/>
      <color rgb="FF1155CC"/>
      <name val="Sarabun"/>
    </font>
    <font>
      <sz val="8.0"/>
      <color theme="1"/>
      <name val="Sarabun"/>
    </font>
    <font>
      <sz val="8.0"/>
      <color theme="1"/>
      <name val="Arial"/>
    </font>
    <font>
      <u/>
      <color rgb="FF0000FF"/>
      <name val="Sarabun"/>
    </font>
    <font>
      <u/>
      <sz val="10.0"/>
      <color rgb="FF0000FF"/>
      <name val="Sarabun"/>
    </font>
    <font>
      <sz val="11.0"/>
      <color rgb="FFDAA520"/>
      <name val="Montserrat"/>
    </font>
    <font>
      <u/>
      <sz val="10.0"/>
      <color rgb="FF0000FF"/>
      <name val="Sarabun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</fills>
  <borders count="10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horizontal="center" readingOrder="0" vertical="bottom"/>
    </xf>
    <xf borderId="0" fillId="4" fontId="1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horizontal="center" readingOrder="0" vertical="center"/>
    </xf>
    <xf borderId="0" fillId="5" fontId="4" numFmtId="0" xfId="0" applyAlignment="1" applyFill="1" applyFont="1">
      <alignment readingOrder="0" vertical="bottom"/>
    </xf>
    <xf borderId="0" fillId="5" fontId="4" numFmtId="164" xfId="0" applyAlignment="1" applyFont="1" applyNumberFormat="1">
      <alignment horizontal="center" readingOrder="0" vertical="bottom"/>
    </xf>
    <xf borderId="0" fillId="4" fontId="1" numFmtId="164" xfId="0" applyFont="1" applyNumberFormat="1"/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readingOrder="0" vertical="center"/>
    </xf>
    <xf borderId="0" fillId="5" fontId="4" numFmtId="164" xfId="0" applyAlignment="1" applyFont="1" applyNumberFormat="1">
      <alignment readingOrder="0" vertical="bottom"/>
    </xf>
    <xf borderId="0" fillId="5" fontId="4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center"/>
    </xf>
    <xf borderId="1" fillId="0" fontId="6" numFmtId="164" xfId="0" applyAlignment="1" applyBorder="1" applyFont="1" applyNumberFormat="1">
      <alignment readingOrder="0" vertical="center"/>
    </xf>
    <xf borderId="2" fillId="6" fontId="2" numFmtId="0" xfId="0" applyAlignment="1" applyBorder="1" applyFill="1" applyFont="1">
      <alignment readingOrder="0" vertical="bottom"/>
    </xf>
    <xf borderId="2" fillId="6" fontId="4" numFmtId="164" xfId="0" applyAlignment="1" applyBorder="1" applyFont="1" applyNumberFormat="1">
      <alignment readingOrder="0" vertical="bottom"/>
    </xf>
    <xf borderId="0" fillId="0" fontId="6" numFmtId="0" xfId="0" applyAlignment="1" applyFont="1">
      <alignment readingOrder="0" vertical="center"/>
    </xf>
    <xf borderId="0" fillId="0" fontId="6" numFmtId="164" xfId="0" applyAlignment="1" applyFont="1" applyNumberFormat="1">
      <alignment readingOrder="0" vertical="center"/>
    </xf>
    <xf borderId="0" fillId="5" fontId="4" numFmtId="0" xfId="0" applyAlignment="1" applyFont="1">
      <alignment readingOrder="0" vertical="center"/>
    </xf>
    <xf borderId="0" fillId="5" fontId="4" numFmtId="10" xfId="0" applyAlignment="1" applyFont="1" applyNumberFormat="1">
      <alignment readingOrder="0" vertical="bottom"/>
    </xf>
    <xf borderId="0" fillId="4" fontId="1" numFmtId="0" xfId="0" applyFont="1"/>
    <xf borderId="0" fillId="0" fontId="6" numFmtId="0" xfId="0" applyAlignment="1" applyFont="1">
      <alignment vertical="bottom"/>
    </xf>
    <xf borderId="0" fillId="7" fontId="4" numFmtId="4" xfId="0" applyAlignment="1" applyFill="1" applyFont="1" applyNumberFormat="1">
      <alignment readingOrder="0" vertical="bottom"/>
    </xf>
    <xf borderId="0" fillId="0" fontId="7" numFmtId="0" xfId="0" applyAlignment="1" applyFont="1">
      <alignment horizontal="left" readingOrder="0"/>
    </xf>
    <xf borderId="0" fillId="0" fontId="6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6" numFmtId="0" xfId="0" applyAlignment="1" applyFont="1">
      <alignment vertical="center"/>
    </xf>
    <xf borderId="0" fillId="5" fontId="4" numFmtId="0" xfId="0" applyAlignment="1" applyFont="1">
      <alignment readingOrder="0" vertical="bottom"/>
    </xf>
    <xf borderId="0" fillId="4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3" xfId="0" applyAlignment="1" applyFont="1" applyNumberFormat="1">
      <alignment readingOrder="0" vertical="bottom"/>
    </xf>
    <xf borderId="0" fillId="3" fontId="4" numFmtId="164" xfId="0" applyAlignment="1" applyFont="1" applyNumberFormat="1">
      <alignment vertical="bottom"/>
    </xf>
    <xf borderId="0" fillId="5" fontId="4" numFmtId="10" xfId="0" applyAlignment="1" applyFont="1" applyNumberFormat="1">
      <alignment vertical="bottom"/>
    </xf>
    <xf borderId="0" fillId="0" fontId="11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3" fillId="5" fontId="2" numFmtId="0" xfId="0" applyAlignment="1" applyBorder="1" applyFont="1">
      <alignment readingOrder="0" vertical="bottom"/>
    </xf>
    <xf borderId="4" fillId="5" fontId="4" numFmtId="165" xfId="0" applyAlignment="1" applyBorder="1" applyFont="1" applyNumberFormat="1">
      <alignment vertical="bottom"/>
    </xf>
    <xf borderId="0" fillId="5" fontId="4" numFmtId="165" xfId="0" applyAlignment="1" applyFont="1" applyNumberFormat="1">
      <alignment vertical="bottom"/>
    </xf>
    <xf borderId="0" fillId="5" fontId="2" numFmtId="165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readingOrder="0" vertical="bottom"/>
    </xf>
    <xf borderId="5" fillId="5" fontId="4" numFmtId="0" xfId="0" applyAlignment="1" applyBorder="1" applyFont="1">
      <alignment readingOrder="0" vertical="bottom"/>
    </xf>
    <xf borderId="6" fillId="5" fontId="4" numFmtId="4" xfId="0" applyAlignment="1" applyBorder="1" applyFont="1" applyNumberFormat="1">
      <alignment vertical="bottom"/>
    </xf>
    <xf borderId="0" fillId="5" fontId="4" numFmtId="4" xfId="0" applyAlignment="1" applyFont="1" applyNumberFormat="1">
      <alignment readingOrder="0" vertical="bottom"/>
    </xf>
    <xf borderId="0" fillId="5" fontId="4" numFmtId="4" xfId="0" applyAlignment="1" applyFont="1" applyNumberFormat="1">
      <alignment vertical="bottom"/>
    </xf>
    <xf borderId="0" fillId="5" fontId="9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/>
    </xf>
    <xf borderId="6" fillId="0" fontId="1" numFmtId="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/>
    </xf>
    <xf borderId="0" fillId="0" fontId="4" numFmtId="4" xfId="0" applyAlignment="1" applyFont="1" applyNumberFormat="1">
      <alignment readingOrder="0" vertical="bottom"/>
    </xf>
    <xf borderId="0" fillId="0" fontId="6" numFmtId="164" xfId="0" applyAlignment="1" applyFont="1" applyNumberFormat="1">
      <alignment horizontal="right" vertical="center"/>
    </xf>
    <xf borderId="7" fillId="5" fontId="4" numFmtId="0" xfId="0" applyAlignment="1" applyBorder="1" applyFont="1">
      <alignment readingOrder="0" vertical="bottom"/>
    </xf>
    <xf borderId="8" fillId="5" fontId="4" numFmtId="4" xfId="0" applyAlignment="1" applyBorder="1" applyFont="1" applyNumberFormat="1">
      <alignment readingOrder="0" vertical="bottom"/>
    </xf>
    <xf borderId="3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8" fontId="5" numFmtId="0" xfId="0" applyAlignment="1" applyFill="1" applyFont="1">
      <alignment readingOrder="0" vertical="center"/>
    </xf>
    <xf borderId="0" fillId="8" fontId="5" numFmtId="0" xfId="0" applyAlignment="1" applyFont="1">
      <alignment vertical="center"/>
    </xf>
    <xf borderId="1" fillId="8" fontId="5" numFmtId="164" xfId="0" applyAlignment="1" applyBorder="1" applyFont="1" applyNumberFormat="1">
      <alignment readingOrder="0" vertical="center"/>
    </xf>
    <xf borderId="0" fillId="0" fontId="1" numFmtId="9" xfId="0" applyAlignment="1" applyFont="1" applyNumberFormat="1">
      <alignment readingOrder="0"/>
    </xf>
    <xf borderId="7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12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5" fontId="13" numFmtId="0" xfId="0" applyAlignment="1" applyFont="1">
      <alignment horizontal="center"/>
    </xf>
    <xf borderId="0" fillId="9" fontId="4" numFmtId="0" xfId="0" applyAlignment="1" applyFill="1" applyFont="1">
      <alignment vertical="bottom"/>
    </xf>
    <xf borderId="0" fillId="9" fontId="2" numFmtId="0" xfId="0" applyAlignment="1" applyFont="1">
      <alignment readingOrder="0" vertical="bottom"/>
    </xf>
    <xf borderId="0" fillId="9" fontId="4" numFmtId="3" xfId="0" applyAlignment="1" applyFont="1" applyNumberFormat="1">
      <alignment readingOrder="0" vertical="bottom"/>
    </xf>
    <xf borderId="0" fillId="9" fontId="2" numFmtId="4" xfId="0" applyAlignment="1" applyFont="1" applyNumberFormat="1">
      <alignment readingOrder="0" vertical="bottom"/>
    </xf>
    <xf borderId="0" fillId="10" fontId="4" numFmtId="0" xfId="0" applyAlignment="1" applyFill="1" applyFont="1">
      <alignment readingOrder="0" vertical="bottom"/>
    </xf>
    <xf borderId="0" fillId="10" fontId="4" numFmtId="4" xfId="0" applyAlignment="1" applyFont="1" applyNumberFormat="1">
      <alignment readingOrder="0" vertical="bottom"/>
    </xf>
    <xf borderId="0" fillId="0" fontId="3" numFmtId="0" xfId="0" applyFont="1"/>
    <xf borderId="0" fillId="2" fontId="3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3" xfId="0" applyAlignment="1" applyFont="1" applyNumberFormat="1">
      <alignment readingOrder="0"/>
    </xf>
    <xf borderId="0" fillId="11" fontId="1" numFmtId="0" xfId="0" applyAlignment="1" applyFill="1" applyFont="1">
      <alignment readingOrder="0"/>
    </xf>
    <xf borderId="0" fillId="7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Arial black"/>
              </a:defRPr>
            </a:pPr>
            <a:r>
              <a:rPr b="0" sz="1800">
                <a:solidFill>
                  <a:srgbClr val="757575"/>
                </a:solidFill>
                <a:latin typeface="Arial black"/>
              </a:rPr>
              <a:t>Operating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FFFFFF">
                  <a:alpha val="100000"/>
                </a:srgbClr>
              </a:solidFill>
              <a:prstDash val="solid"/>
            </a:ln>
          </c:spPr>
          <c:val>
            <c:numRef>
              <c:f>'ชีต1'!$C$10:$H$10</c:f>
              <c:numCache/>
            </c:numRef>
          </c:val>
        </c:ser>
        <c:axId val="1574168461"/>
        <c:axId val="1373822569"/>
      </c:barChart>
      <c:catAx>
        <c:axId val="1574168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822569"/>
      </c:catAx>
      <c:valAx>
        <c:axId val="1373822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 sz="1800">
                    <a:solidFill>
                      <a:srgbClr val="000000"/>
                    </a:solidFill>
                    <a:latin typeface="Arial black"/>
                  </a:rPr>
                  <a:t>Operating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 black"/>
              </a:defRPr>
            </a:pPr>
          </a:p>
        </c:txPr>
        <c:crossAx val="15741684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Arial black"/>
              </a:defRPr>
            </a:pPr>
            <a:r>
              <a:rPr b="0" sz="1800">
                <a:solidFill>
                  <a:srgbClr val="757575"/>
                </a:solidFill>
                <a:latin typeface="Arial black"/>
              </a:rPr>
              <a:t>Operating Cost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'ชีต1'!$C$9:$H$9</c:f>
              <c:numCache/>
            </c:numRef>
          </c:val>
        </c:ser>
        <c:axId val="1031939080"/>
        <c:axId val="566261845"/>
      </c:barChart>
      <c:catAx>
        <c:axId val="1031939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261845"/>
      </c:catAx>
      <c:valAx>
        <c:axId val="566261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1" sz="1800">
                    <a:solidFill>
                      <a:srgbClr val="000000"/>
                    </a:solidFill>
                    <a:latin typeface="Arial black"/>
                  </a:rPr>
                  <a:t>Operating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939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Net Income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'ชีต1'!$B$11:$H$11</c:f>
              <c:numCache/>
            </c:numRef>
          </c:val>
        </c:ser>
        <c:axId val="1790506253"/>
        <c:axId val="1316718548"/>
      </c:barChart>
      <c:lineChart>
        <c:ser>
          <c:idx val="1"/>
          <c:order val="1"/>
          <c:tx>
            <c:v>Operating Cost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'ชีต1'!$B$9:$H$9</c:f>
              <c:numCache/>
            </c:numRef>
          </c:val>
          <c:smooth val="1"/>
        </c:ser>
        <c:ser>
          <c:idx val="2"/>
          <c:order val="2"/>
          <c:tx>
            <c:v>Operating Profit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'ชีต1'!$B$10:$H$10</c:f>
              <c:numCache/>
            </c:numRef>
          </c:val>
          <c:smooth val="1"/>
        </c:ser>
        <c:axId val="1790506253"/>
        <c:axId val="1316718548"/>
      </c:lineChart>
      <c:catAx>
        <c:axId val="1790506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718548"/>
      </c:catAx>
      <c:valAx>
        <c:axId val="1316718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905062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22</xdr:row>
      <xdr:rowOff>123825</xdr:rowOff>
    </xdr:from>
    <xdr:ext cx="5438775" cy="3333750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40</xdr:row>
      <xdr:rowOff>123825</xdr:rowOff>
    </xdr:from>
    <xdr:ext cx="5438775" cy="3333750"/>
    <xdr:graphicFrame>
      <xdr:nvGraphicFramePr>
        <xdr:cNvPr id="2" name="Chart 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58</xdr:row>
      <xdr:rowOff>190500</xdr:rowOff>
    </xdr:from>
    <xdr:ext cx="5438775" cy="33337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1885950</xdr:colOff>
      <xdr:row>4</xdr:row>
      <xdr:rowOff>-114300</xdr:rowOff>
    </xdr:from>
    <xdr:ext cx="5781675" cy="1819275"/>
    <xdr:pic>
      <xdr:nvPicPr>
        <xdr:cNvPr id="0" name="image3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1885950</xdr:colOff>
      <xdr:row>13</xdr:row>
      <xdr:rowOff>-142875</xdr:rowOff>
    </xdr:from>
    <xdr:ext cx="5743575" cy="781050"/>
    <xdr:pic>
      <xdr:nvPicPr>
        <xdr:cNvPr id="0" name="image1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1885950</xdr:colOff>
      <xdr:row>18</xdr:row>
      <xdr:rowOff>57150</xdr:rowOff>
    </xdr:from>
    <xdr:ext cx="5743575" cy="2428875"/>
    <xdr:pic>
      <xdr:nvPicPr>
        <xdr:cNvPr id="0" name="image2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odrubjang-charoen.com/article/2/%E0%B8%84%E0%B8%B3%E0%B8%99%E0%B8%A7%E0%B8%93%E0%B8%A3%E0%B8%B2%E0%B8%84%E0%B8%B2%E0%B8%A3%E0%B8%96%E0%B8%A3%E0%B8%B1%E0%B8%9A%E0%B8%88%E0%B9%89%E0%B8%B2%E0%B8%87%E0%B8%87%E0%B9%88%E0%B8%B2%E0%B8%A2%E0%B9%86" TargetMode="External"/><Relationship Id="rId2" Type="http://schemas.openxmlformats.org/officeDocument/2006/relationships/hyperlink" Target="https://shope.ee/7zmPiJrpGJ" TargetMode="External"/><Relationship Id="rId3" Type="http://schemas.openxmlformats.org/officeDocument/2006/relationships/hyperlink" Target="https://shopee.co.th/-%E0%B8%9E%E0%B8%A3%E0%B9%89%E0%B8%AD%E0%B8%A1%E0%B8%AA%E0%B9%88%E0%B8%87-%E0%B9%80%E0%B8%84%E0%B8%A3%E0%B8%B7%E0%B9%88%E0%B8%AD%E0%B8%87%E0%B8%97%E0%B9%8D%E0%B8%B2%E0%B8%84%E0%B8%A7%E0%B8%B2%E0%B8%A1%E0%B8%AA%E0%B8%B0%E0%B8%AD%E0%B8%B2%E0%B8%94%E0%B8%96%E0%B8%B1%E0%B8%87%E0%B8%AD%E0%B8%B1%E0%B8%A5%E0%B8%95%E0%B8%A3%E0%B9%89%E0%B8%B2%E0%B9%82%E0%B8%8B%E0%B8%99%E0%B8%B4%E0%B8%84%E0%B8%94%E0%B8%B4%E0%B8%88%E0%B8%B4%E0%B8%97%E0%B8%B1%E0%B8%A5-6-10-15-%E0%B8%A5%E0%B8%B4%E0%B8%95%E0%B8%A3-%E0%B9%81%E0%B8%9A%E0%B8%9A%E0%B8%95%E0%B8%B1%E0%B9%89%E0%B8%87%E0%B9%80%E0%B8%A7%E0%B8%A5%E0%B8%B2-%E0%B8%9B%E0%B8%A5%E0%B8%B1%E0%B9%8A%E0%B8%81-220V-i.441559361.15508805235?sp_atk=cfcc0124-78fb-4bfe-a248-c40fcd93b942&amp;xptdk=cfcc0124-78fb-4bfe-a248-c40fcd93b942" TargetMode="External"/><Relationship Id="rId4" Type="http://schemas.openxmlformats.org/officeDocument/2006/relationships/hyperlink" Target="https://kitchenwaremarket.com/tn-thn-khay-xahar-tam-sng/a-486.html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tdri.or.th/wp-content/uploads/2019/09/final_food_waste_management.pdf" TargetMode="External"/><Relationship Id="rId5" Type="http://schemas.openxmlformats.org/officeDocument/2006/relationships/hyperlink" Target="https://bitly.ws/33LCY" TargetMode="External"/><Relationship Id="rId6" Type="http://schemas.openxmlformats.org/officeDocument/2006/relationships/hyperlink" Target="https://www.mdpi.com/2673-4931/15/1/15" TargetMode="External"/><Relationship Id="rId7" Type="http://schemas.openxmlformats.org/officeDocument/2006/relationships/hyperlink" Target="https://www.youtube.com/watch?v=GY2Ufaa2Ixg" TargetMode="External"/><Relationship Id="rId8" Type="http://schemas.openxmlformats.org/officeDocument/2006/relationships/hyperlink" Target="https://pantip.com/topic/3129689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1.0"/>
    <col customWidth="1" min="4" max="4" width="11.88"/>
    <col customWidth="1" min="5" max="5" width="12.63"/>
    <col customWidth="1" min="6" max="6" width="12.88"/>
    <col customWidth="1" min="7" max="7" width="12.75"/>
    <col customWidth="1" min="8" max="8" width="13.38"/>
    <col customWidth="1" min="9" max="9" width="12.0"/>
    <col customWidth="1" min="11" max="11" width="61.0"/>
    <col customWidth="1" min="12" max="12" width="55.63"/>
    <col customWidth="1" min="13" max="13" width="31.38"/>
    <col customWidth="1" min="14" max="14" width="24.88"/>
    <col customWidth="1" min="22" max="22" width="3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2" t="s">
        <v>0</v>
      </c>
      <c r="C2" s="3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1"/>
      <c r="K3" s="8" t="s">
        <v>9</v>
      </c>
      <c r="L3" s="1"/>
      <c r="M3" s="1"/>
      <c r="N3" s="1"/>
      <c r="O3" s="1"/>
      <c r="P3" s="1"/>
      <c r="Q3" s="1"/>
      <c r="R3" s="1"/>
      <c r="S3" s="1"/>
      <c r="T3" s="1"/>
      <c r="U3" s="1"/>
      <c r="V3" s="9" t="s">
        <v>10</v>
      </c>
      <c r="W3" s="9" t="s">
        <v>11</v>
      </c>
      <c r="X3" s="9" t="s">
        <v>12</v>
      </c>
      <c r="Y3" s="1"/>
      <c r="Z3" s="1"/>
      <c r="AA3" s="1"/>
      <c r="AB3" s="1"/>
      <c r="AC3" s="1"/>
    </row>
    <row r="4">
      <c r="A4" s="1"/>
      <c r="B4" s="10" t="s">
        <v>13</v>
      </c>
      <c r="C4" s="11">
        <f>C21*30*L27</f>
        <v>488160</v>
      </c>
      <c r="D4" s="11">
        <f>D21*30*L27</f>
        <v>536976</v>
      </c>
      <c r="E4" s="11">
        <f>E21*30*L27</f>
        <v>644371.2</v>
      </c>
      <c r="F4" s="11">
        <f>F21*30*L27</f>
        <v>773245.44</v>
      </c>
      <c r="G4" s="11">
        <f>G21*30*L27</f>
        <v>927894.528</v>
      </c>
      <c r="H4" s="11">
        <f>H21*30*L27</f>
        <v>1113473.434</v>
      </c>
      <c r="I4" s="12">
        <f>AVERAGE(C4:H4)</f>
        <v>747353.4336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3" t="s">
        <v>14</v>
      </c>
      <c r="W4" s="13">
        <v>216.96</v>
      </c>
      <c r="X4" s="14">
        <f>W4*30*30</f>
        <v>195264</v>
      </c>
      <c r="Y4" s="1"/>
      <c r="Z4" s="1"/>
      <c r="AA4" s="1"/>
      <c r="AB4" s="1"/>
      <c r="AC4" s="1"/>
    </row>
    <row r="5">
      <c r="A5" s="1"/>
      <c r="B5" s="10" t="s">
        <v>15</v>
      </c>
      <c r="C5" s="15">
        <f>N24+L26</f>
        <v>550936.22</v>
      </c>
      <c r="D5" s="16">
        <f>N24*1.2</f>
        <v>561585.6</v>
      </c>
      <c r="E5" s="15">
        <v>593982.72</v>
      </c>
      <c r="F5" s="16">
        <f t="shared" ref="F5:H5" si="1">E5*1.2</f>
        <v>712779.264</v>
      </c>
      <c r="G5" s="16">
        <f t="shared" si="1"/>
        <v>855335.1168</v>
      </c>
      <c r="H5" s="16">
        <f t="shared" si="1"/>
        <v>1026402.14</v>
      </c>
      <c r="I5" s="12">
        <f t="shared" ref="I5:I6" si="3">average(C5:H5)</f>
        <v>716836.8435</v>
      </c>
      <c r="J5" s="1"/>
      <c r="K5" s="1"/>
      <c r="L5" s="17" t="s">
        <v>16</v>
      </c>
      <c r="M5" s="18"/>
      <c r="N5" s="19" t="s">
        <v>17</v>
      </c>
      <c r="O5" s="18"/>
      <c r="P5" s="18"/>
      <c r="Q5" s="18"/>
      <c r="R5" s="18"/>
      <c r="S5" s="18"/>
      <c r="T5" s="18"/>
      <c r="U5" s="18"/>
      <c r="V5" s="20" t="s">
        <v>18</v>
      </c>
      <c r="W5" s="21"/>
      <c r="X5" s="22">
        <v>38934.0</v>
      </c>
      <c r="Y5" s="18"/>
      <c r="Z5" s="18"/>
      <c r="AA5" s="18"/>
      <c r="AB5" s="18"/>
      <c r="AC5" s="18"/>
    </row>
    <row r="6">
      <c r="A6" s="1"/>
      <c r="B6" s="23" t="s">
        <v>19</v>
      </c>
      <c r="C6" s="24">
        <f t="shared" ref="C6:H6" si="2">C4-C5</f>
        <v>-62776.22</v>
      </c>
      <c r="D6" s="24">
        <f t="shared" si="2"/>
        <v>-24609.6</v>
      </c>
      <c r="E6" s="24">
        <f t="shared" si="2"/>
        <v>50388.48</v>
      </c>
      <c r="F6" s="24">
        <f t="shared" si="2"/>
        <v>60466.176</v>
      </c>
      <c r="G6" s="24">
        <f t="shared" si="2"/>
        <v>72559.4112</v>
      </c>
      <c r="H6" s="24">
        <f t="shared" si="2"/>
        <v>87071.29344</v>
      </c>
      <c r="I6" s="12">
        <f t="shared" si="3"/>
        <v>30516.59011</v>
      </c>
      <c r="J6" s="1"/>
      <c r="K6" s="18"/>
      <c r="L6" s="17"/>
      <c r="M6" s="18"/>
      <c r="N6" s="19"/>
      <c r="O6" s="18"/>
      <c r="P6" s="18"/>
      <c r="Q6" s="18"/>
      <c r="R6" s="18"/>
      <c r="S6" s="18"/>
      <c r="T6" s="18"/>
      <c r="U6" s="18"/>
      <c r="V6" s="25" t="s">
        <v>20</v>
      </c>
      <c r="W6" s="25">
        <v>2.0</v>
      </c>
      <c r="X6" s="26">
        <v>9304.0</v>
      </c>
      <c r="Y6" s="18"/>
      <c r="Z6" s="18"/>
      <c r="AA6" s="18"/>
      <c r="AB6" s="18"/>
      <c r="AC6" s="18"/>
    </row>
    <row r="7">
      <c r="A7" s="1"/>
      <c r="B7" s="27" t="s">
        <v>21</v>
      </c>
      <c r="C7" s="28">
        <v>0.25</v>
      </c>
      <c r="D7" s="28">
        <v>0.25</v>
      </c>
      <c r="E7" s="28">
        <v>0.25</v>
      </c>
      <c r="F7" s="28">
        <v>0.25</v>
      </c>
      <c r="G7" s="28">
        <v>0.25</v>
      </c>
      <c r="H7" s="28">
        <v>0.25</v>
      </c>
      <c r="I7" s="29"/>
      <c r="J7" s="1"/>
      <c r="K7" s="30" t="s">
        <v>22</v>
      </c>
      <c r="L7" s="30" t="s">
        <v>23</v>
      </c>
      <c r="M7" s="31">
        <v>6508.8</v>
      </c>
      <c r="N7" s="18">
        <f>M7*30</f>
        <v>195264</v>
      </c>
      <c r="O7" s="18"/>
      <c r="P7" s="18"/>
      <c r="Q7" s="18"/>
      <c r="R7" s="18"/>
      <c r="S7" s="18"/>
      <c r="T7" s="18"/>
      <c r="U7" s="18"/>
      <c r="V7" s="25" t="s">
        <v>24</v>
      </c>
      <c r="W7" s="25">
        <v>2.0</v>
      </c>
      <c r="X7" s="26">
        <v>6830.0</v>
      </c>
      <c r="Y7" s="18"/>
      <c r="Z7" s="18"/>
      <c r="AA7" s="18"/>
      <c r="AB7" s="18"/>
      <c r="AC7" s="18"/>
    </row>
    <row r="8">
      <c r="A8" s="1"/>
      <c r="C8" s="16">
        <f t="shared" ref="C8:H8" si="4">C6*C7</f>
        <v>-15694.055</v>
      </c>
      <c r="D8" s="16">
        <f t="shared" si="4"/>
        <v>-6152.4</v>
      </c>
      <c r="E8" s="16">
        <f t="shared" si="4"/>
        <v>12597.12</v>
      </c>
      <c r="F8" s="16">
        <f t="shared" si="4"/>
        <v>15116.544</v>
      </c>
      <c r="G8" s="16">
        <f t="shared" si="4"/>
        <v>18139.8528</v>
      </c>
      <c r="H8" s="16">
        <f t="shared" si="4"/>
        <v>21767.82336</v>
      </c>
      <c r="I8" s="12">
        <f>average(D8:H8)</f>
        <v>12293.78803</v>
      </c>
      <c r="J8" s="1"/>
      <c r="K8" s="32" t="s">
        <v>25</v>
      </c>
      <c r="L8" s="33"/>
      <c r="M8" s="34"/>
      <c r="N8" s="18"/>
      <c r="O8" s="18"/>
      <c r="P8" s="18"/>
      <c r="Q8" s="18"/>
      <c r="R8" s="18"/>
      <c r="S8" s="18"/>
      <c r="T8" s="18"/>
      <c r="U8" s="18"/>
      <c r="V8" s="25" t="s">
        <v>26</v>
      </c>
      <c r="W8" s="35"/>
      <c r="X8" s="26">
        <v>22800.0</v>
      </c>
      <c r="Y8" s="18"/>
      <c r="Z8" s="18"/>
      <c r="AA8" s="18"/>
      <c r="AB8" s="18"/>
      <c r="AC8" s="18"/>
    </row>
    <row r="9">
      <c r="A9" s="1"/>
      <c r="B9" s="36" t="s">
        <v>27</v>
      </c>
      <c r="C9" s="16">
        <f t="shared" ref="C9:H9" si="5">C5+C8</f>
        <v>535242.165</v>
      </c>
      <c r="D9" s="16">
        <f t="shared" si="5"/>
        <v>555433.2</v>
      </c>
      <c r="E9" s="16">
        <f t="shared" si="5"/>
        <v>606579.84</v>
      </c>
      <c r="F9" s="16">
        <f t="shared" si="5"/>
        <v>727895.808</v>
      </c>
      <c r="G9" s="16">
        <f t="shared" si="5"/>
        <v>873474.9696</v>
      </c>
      <c r="H9" s="16">
        <f t="shared" si="5"/>
        <v>1048169.964</v>
      </c>
      <c r="I9" s="37">
        <f>AVERAGE(C9:H9)</f>
        <v>724465.991</v>
      </c>
      <c r="J9" s="1"/>
      <c r="K9" s="30" t="s">
        <v>28</v>
      </c>
      <c r="L9" s="30" t="s">
        <v>29</v>
      </c>
      <c r="M9" s="38">
        <v>38934.0</v>
      </c>
      <c r="N9" s="38"/>
      <c r="O9" s="18"/>
      <c r="P9" s="18"/>
      <c r="Q9" s="18"/>
      <c r="R9" s="18"/>
      <c r="S9" s="18"/>
      <c r="T9" s="18"/>
      <c r="U9" s="18"/>
      <c r="V9" s="25" t="s">
        <v>30</v>
      </c>
      <c r="W9" s="25">
        <v>2.0</v>
      </c>
      <c r="X9" s="26">
        <v>44014.22</v>
      </c>
      <c r="Y9" s="18"/>
      <c r="Z9" s="18"/>
      <c r="AA9" s="18"/>
      <c r="AB9" s="18"/>
      <c r="AC9" s="18"/>
    </row>
    <row r="10">
      <c r="A10" s="1"/>
      <c r="B10" s="10" t="s">
        <v>31</v>
      </c>
      <c r="C10" s="16">
        <f t="shared" ref="C10:H10" si="6">C6-C8</f>
        <v>-47082.165</v>
      </c>
      <c r="D10" s="16">
        <f t="shared" si="6"/>
        <v>-18457.2</v>
      </c>
      <c r="E10" s="16">
        <f t="shared" si="6"/>
        <v>37791.36</v>
      </c>
      <c r="F10" s="16">
        <f t="shared" si="6"/>
        <v>45349.632</v>
      </c>
      <c r="G10" s="16">
        <f t="shared" si="6"/>
        <v>54419.5584</v>
      </c>
      <c r="H10" s="16">
        <f t="shared" si="6"/>
        <v>65303.47008</v>
      </c>
      <c r="I10" s="12">
        <f t="shared" ref="I10:I11" si="8">average(C10:H10)</f>
        <v>22887.44258</v>
      </c>
      <c r="J10" s="1"/>
      <c r="K10" s="32" t="s">
        <v>32</v>
      </c>
      <c r="L10" s="39" t="s">
        <v>33</v>
      </c>
      <c r="M10" s="40">
        <v>9304.0</v>
      </c>
      <c r="N10" s="18"/>
      <c r="O10" s="18"/>
      <c r="P10" s="18"/>
      <c r="Q10" s="18"/>
      <c r="R10" s="18"/>
      <c r="S10" s="18"/>
      <c r="T10" s="18"/>
      <c r="U10" s="18"/>
      <c r="V10" s="25" t="s">
        <v>34</v>
      </c>
      <c r="W10" s="35"/>
      <c r="X10" s="26">
        <v>25000.0</v>
      </c>
      <c r="Y10" s="18"/>
      <c r="Z10" s="18"/>
      <c r="AA10" s="18"/>
      <c r="AB10" s="18"/>
      <c r="AC10" s="18"/>
    </row>
    <row r="11">
      <c r="A11" s="1"/>
      <c r="B11" s="5" t="s">
        <v>35</v>
      </c>
      <c r="C11" s="41">
        <f t="shared" ref="C11:H11" si="7">C6-C8</f>
        <v>-47082.165</v>
      </c>
      <c r="D11" s="41">
        <f t="shared" si="7"/>
        <v>-18457.2</v>
      </c>
      <c r="E11" s="41">
        <f t="shared" si="7"/>
        <v>37791.36</v>
      </c>
      <c r="F11" s="41">
        <f t="shared" si="7"/>
        <v>45349.632</v>
      </c>
      <c r="G11" s="41">
        <f t="shared" si="7"/>
        <v>54419.5584</v>
      </c>
      <c r="H11" s="41">
        <f t="shared" si="7"/>
        <v>65303.47008</v>
      </c>
      <c r="I11" s="12">
        <f t="shared" si="8"/>
        <v>22887.44258</v>
      </c>
      <c r="J11" s="1"/>
      <c r="K11" s="32" t="s">
        <v>36</v>
      </c>
      <c r="L11" s="39" t="s">
        <v>37</v>
      </c>
      <c r="M11" s="40">
        <v>6830.0</v>
      </c>
      <c r="N11" s="18"/>
      <c r="O11" s="18"/>
      <c r="P11" s="18"/>
      <c r="Q11" s="18"/>
      <c r="R11" s="18"/>
      <c r="S11" s="18"/>
      <c r="T11" s="18"/>
      <c r="U11" s="18"/>
      <c r="V11" s="25" t="s">
        <v>38</v>
      </c>
      <c r="W11" s="35"/>
      <c r="X11" s="26">
        <v>73224.0</v>
      </c>
      <c r="Y11" s="18"/>
      <c r="Z11" s="18"/>
      <c r="AA11" s="18"/>
      <c r="AB11" s="18"/>
      <c r="AC11" s="18"/>
    </row>
    <row r="12">
      <c r="A12" s="1"/>
      <c r="B12" s="10"/>
      <c r="C12" s="42"/>
      <c r="D12" s="42"/>
      <c r="E12" s="42"/>
      <c r="F12" s="42"/>
      <c r="G12" s="42"/>
      <c r="H12" s="42"/>
      <c r="I12" s="1"/>
      <c r="J12" s="1"/>
      <c r="K12" s="43" t="s">
        <v>39</v>
      </c>
      <c r="L12" s="44" t="s">
        <v>40</v>
      </c>
      <c r="M12" s="40">
        <v>22800.0</v>
      </c>
      <c r="N12" s="18"/>
      <c r="O12" s="18"/>
      <c r="P12" s="18"/>
      <c r="Q12" s="18"/>
      <c r="R12" s="18"/>
      <c r="S12" s="18"/>
      <c r="T12" s="18"/>
      <c r="U12" s="18"/>
      <c r="V12" s="20" t="s">
        <v>41</v>
      </c>
      <c r="W12" s="21"/>
      <c r="X12" s="22">
        <v>69500.0</v>
      </c>
      <c r="Y12" s="18"/>
      <c r="Z12" s="18"/>
      <c r="AA12" s="18"/>
      <c r="AB12" s="18"/>
      <c r="AC12" s="18"/>
    </row>
    <row r="13">
      <c r="A13" s="1"/>
      <c r="B13" s="45" t="s">
        <v>42</v>
      </c>
      <c r="C13" s="46"/>
      <c r="D13" s="47"/>
      <c r="E13" s="48" t="s">
        <v>43</v>
      </c>
      <c r="F13" s="47"/>
      <c r="G13" s="47"/>
      <c r="H13" s="47"/>
      <c r="I13" s="1"/>
      <c r="J13" s="1"/>
      <c r="K13" s="49" t="s">
        <v>44</v>
      </c>
      <c r="L13" s="50" t="s">
        <v>45</v>
      </c>
      <c r="M13" s="51">
        <v>25000.0</v>
      </c>
      <c r="N13" s="51">
        <v>25000.0</v>
      </c>
      <c r="O13" s="18"/>
      <c r="P13" s="18"/>
      <c r="Q13" s="18"/>
      <c r="R13" s="18"/>
      <c r="S13" s="18"/>
      <c r="T13" s="18"/>
      <c r="U13" s="18"/>
      <c r="V13" s="25" t="s">
        <v>46</v>
      </c>
      <c r="W13" s="25">
        <v>3.0</v>
      </c>
      <c r="X13" s="26">
        <v>31500.0</v>
      </c>
      <c r="Y13" s="18"/>
      <c r="Z13" s="18"/>
      <c r="AA13" s="18"/>
      <c r="AB13" s="18"/>
      <c r="AC13" s="18"/>
    </row>
    <row r="14">
      <c r="A14" s="1"/>
      <c r="B14" s="52" t="s">
        <v>47</v>
      </c>
      <c r="C14" s="53">
        <f>I11/I9*100</f>
        <v>3.159215597</v>
      </c>
      <c r="D14" s="47"/>
      <c r="E14" s="54" t="s">
        <v>48</v>
      </c>
      <c r="F14" s="54">
        <v>3.14</v>
      </c>
      <c r="G14" s="55"/>
      <c r="H14" s="47"/>
      <c r="I14" s="1"/>
      <c r="J14" s="1"/>
      <c r="K14" s="49"/>
      <c r="L14" s="56" t="s">
        <v>49</v>
      </c>
      <c r="M14" s="30"/>
      <c r="N14" s="57"/>
      <c r="O14" s="18"/>
      <c r="P14" s="18"/>
      <c r="Q14" s="18"/>
      <c r="R14" s="18"/>
      <c r="S14" s="18"/>
      <c r="T14" s="18"/>
      <c r="U14" s="18"/>
      <c r="V14" s="25" t="s">
        <v>50</v>
      </c>
      <c r="W14" s="25">
        <v>2.0</v>
      </c>
      <c r="X14" s="26">
        <v>38000.0</v>
      </c>
      <c r="Y14" s="18"/>
      <c r="Z14" s="18"/>
      <c r="AA14" s="18"/>
      <c r="AB14" s="18"/>
      <c r="AC14" s="18"/>
    </row>
    <row r="15">
      <c r="A15" s="1"/>
      <c r="B15" s="58" t="s">
        <v>51</v>
      </c>
      <c r="C15" s="59">
        <f>I4/I9</f>
        <v>1.031592156</v>
      </c>
      <c r="D15" s="1"/>
      <c r="E15" s="60" t="s">
        <v>52</v>
      </c>
      <c r="F15" s="60">
        <v>621334.0</v>
      </c>
      <c r="G15" s="60"/>
      <c r="H15" s="1"/>
      <c r="I15" s="1"/>
      <c r="J15" s="1"/>
      <c r="K15" s="49"/>
      <c r="L15" s="61" t="s">
        <v>53</v>
      </c>
      <c r="M15" s="30"/>
      <c r="N15" s="57"/>
      <c r="O15" s="18"/>
      <c r="P15" s="18"/>
      <c r="Q15" s="18"/>
      <c r="R15" s="18"/>
      <c r="S15" s="18"/>
      <c r="T15" s="18"/>
      <c r="U15" s="18"/>
      <c r="V15" s="25" t="s">
        <v>54</v>
      </c>
      <c r="W15" s="25">
        <v>1.0</v>
      </c>
      <c r="X15" s="26">
        <v>24000.0</v>
      </c>
      <c r="Y15" s="18"/>
      <c r="Z15" s="18"/>
      <c r="AA15" s="18"/>
      <c r="AB15" s="18"/>
      <c r="AC15" s="18"/>
    </row>
    <row r="16">
      <c r="A16" s="1"/>
      <c r="B16" s="58" t="s">
        <v>48</v>
      </c>
      <c r="C16" s="62">
        <v>1.0</v>
      </c>
      <c r="D16" s="1"/>
      <c r="E16" s="1"/>
      <c r="F16" s="1"/>
      <c r="G16" s="1"/>
      <c r="H16" s="1"/>
      <c r="I16" s="1"/>
      <c r="J16" s="1"/>
      <c r="K16" s="49" t="s">
        <v>55</v>
      </c>
      <c r="L16" s="49" t="s">
        <v>56</v>
      </c>
      <c r="M16" s="63">
        <v>2440.8</v>
      </c>
      <c r="N16" s="18">
        <f>M16*30</f>
        <v>73224</v>
      </c>
      <c r="O16" s="18"/>
      <c r="P16" s="18"/>
      <c r="Q16" s="18"/>
      <c r="R16" s="18"/>
      <c r="S16" s="18"/>
      <c r="T16" s="18"/>
      <c r="U16" s="18"/>
      <c r="V16" s="25" t="s">
        <v>57</v>
      </c>
      <c r="W16" s="35"/>
      <c r="X16" s="64">
        <v>2000.0</v>
      </c>
      <c r="Y16" s="18"/>
      <c r="Z16" s="18"/>
      <c r="AA16" s="18"/>
      <c r="AB16" s="18"/>
      <c r="AC16" s="18"/>
    </row>
    <row r="17">
      <c r="A17" s="1"/>
      <c r="B17" s="65" t="s">
        <v>58</v>
      </c>
      <c r="C17" s="66">
        <v>67.8</v>
      </c>
      <c r="D17" s="16"/>
      <c r="E17" s="16"/>
      <c r="F17" s="16"/>
      <c r="G17" s="16"/>
      <c r="H17" s="16"/>
      <c r="I17" s="1"/>
      <c r="J17" s="1"/>
      <c r="K17" s="30" t="s">
        <v>59</v>
      </c>
      <c r="L17" s="30" t="s">
        <v>41</v>
      </c>
      <c r="M17" s="38">
        <v>93500.0</v>
      </c>
      <c r="N17" s="38">
        <v>93500.0</v>
      </c>
      <c r="O17" s="18"/>
      <c r="P17" s="18"/>
      <c r="Q17" s="18"/>
      <c r="R17" s="18"/>
      <c r="S17" s="18"/>
      <c r="T17" s="18"/>
      <c r="U17" s="18"/>
      <c r="V17" s="25" t="s">
        <v>60</v>
      </c>
      <c r="W17" s="35"/>
      <c r="X17" s="64">
        <v>1000.0</v>
      </c>
      <c r="Y17" s="18"/>
      <c r="Z17" s="18"/>
      <c r="AA17" s="18"/>
      <c r="AB17" s="18"/>
      <c r="AC17" s="18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8"/>
      <c r="L18" s="19" t="s">
        <v>61</v>
      </c>
      <c r="M18" s="18"/>
      <c r="N18" s="18"/>
      <c r="O18" s="18"/>
      <c r="P18" s="18"/>
      <c r="Q18" s="18"/>
      <c r="R18" s="18"/>
      <c r="S18" s="18"/>
      <c r="T18" s="18"/>
      <c r="U18" s="18"/>
      <c r="V18" s="25" t="s">
        <v>62</v>
      </c>
      <c r="W18" s="35"/>
      <c r="X18" s="26">
        <v>78000.0</v>
      </c>
      <c r="Y18" s="18"/>
      <c r="Z18" s="18"/>
      <c r="AA18" s="18"/>
      <c r="AB18" s="18"/>
      <c r="AC18" s="18"/>
    </row>
    <row r="19">
      <c r="A19" s="1"/>
      <c r="B19" s="67"/>
      <c r="C19" s="68" t="s">
        <v>2</v>
      </c>
      <c r="D19" s="68" t="s">
        <v>3</v>
      </c>
      <c r="E19" s="68" t="s">
        <v>4</v>
      </c>
      <c r="F19" s="68" t="s">
        <v>5</v>
      </c>
      <c r="G19" s="68" t="s">
        <v>6</v>
      </c>
      <c r="H19" s="69" t="s">
        <v>7</v>
      </c>
      <c r="I19" s="1"/>
      <c r="J19" s="1"/>
      <c r="K19" s="18"/>
      <c r="L19" s="19" t="s">
        <v>63</v>
      </c>
      <c r="M19" s="38">
        <v>2000.0</v>
      </c>
      <c r="N19" s="38">
        <v>2000.0</v>
      </c>
      <c r="O19" s="18"/>
      <c r="P19" s="18"/>
      <c r="Q19" s="18"/>
      <c r="R19" s="18"/>
      <c r="S19" s="18"/>
      <c r="T19" s="18"/>
      <c r="U19" s="18"/>
      <c r="V19" s="70" t="s">
        <v>64</v>
      </c>
      <c r="W19" s="71"/>
      <c r="X19" s="72">
        <v>526936.22</v>
      </c>
      <c r="Y19" s="18"/>
      <c r="Z19" s="18"/>
      <c r="AA19" s="18"/>
      <c r="AB19" s="18"/>
      <c r="AC19" s="18"/>
    </row>
    <row r="20">
      <c r="A20" s="1"/>
      <c r="B20" s="58" t="s">
        <v>65</v>
      </c>
      <c r="C20" s="73">
        <v>0.1</v>
      </c>
      <c r="D20" s="73">
        <v>0.1</v>
      </c>
      <c r="E20" s="73">
        <v>0.1</v>
      </c>
      <c r="F20" s="73">
        <v>0.1</v>
      </c>
      <c r="G20" s="73">
        <v>0.1</v>
      </c>
      <c r="H20" s="73">
        <v>0.1</v>
      </c>
      <c r="I20" s="1"/>
      <c r="J20" s="1"/>
      <c r="K20" s="18"/>
      <c r="L20" s="19" t="s">
        <v>60</v>
      </c>
      <c r="M20" s="38">
        <v>1000.0</v>
      </c>
      <c r="N20" s="38">
        <v>1000.0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>
      <c r="A21" s="1"/>
      <c r="B21" s="74" t="s">
        <v>66</v>
      </c>
      <c r="C21" s="75">
        <v>542.4</v>
      </c>
      <c r="D21" s="75">
        <f>C21*1.1</f>
        <v>596.64</v>
      </c>
      <c r="E21" s="75">
        <f t="shared" ref="E21:H21" si="9">D21*1.2</f>
        <v>715.968</v>
      </c>
      <c r="F21" s="75">
        <f t="shared" si="9"/>
        <v>859.1616</v>
      </c>
      <c r="G21" s="75">
        <f t="shared" si="9"/>
        <v>1030.99392</v>
      </c>
      <c r="H21" s="76">
        <f t="shared" si="9"/>
        <v>1237.192704</v>
      </c>
      <c r="I21" s="1"/>
      <c r="J21" s="1"/>
      <c r="K21" s="19" t="s">
        <v>67</v>
      </c>
      <c r="L21" s="19" t="s">
        <v>68</v>
      </c>
      <c r="M21" s="38">
        <v>2600.0</v>
      </c>
      <c r="N21" s="38">
        <f>M21*30</f>
        <v>78000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77" t="s">
        <v>69</v>
      </c>
      <c r="L22" s="78" t="s">
        <v>70</v>
      </c>
      <c r="M22" s="63">
        <v>44014.22</v>
      </c>
      <c r="N22" s="63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79"/>
      <c r="L23" s="19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80"/>
      <c r="L24" s="81" t="s">
        <v>71</v>
      </c>
      <c r="M24" s="82"/>
      <c r="N24" s="83">
        <f>sum(N7:N21)</f>
        <v>467988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8"/>
      <c r="L25" s="19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84" t="s">
        <v>72</v>
      </c>
      <c r="L26" s="85">
        <v>82948.22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84" t="s">
        <v>73</v>
      </c>
      <c r="L27" s="85">
        <v>30.0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8"/>
      <c r="L28" s="19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>
      <c r="A29" s="1"/>
      <c r="B29" s="1"/>
      <c r="C29" s="1"/>
      <c r="D29" s="1"/>
      <c r="E29" s="1"/>
      <c r="F29" s="1"/>
      <c r="G29" s="1"/>
      <c r="H29" s="1"/>
      <c r="I29" s="1"/>
      <c r="J29" s="86"/>
      <c r="K29" s="17" t="s">
        <v>74</v>
      </c>
      <c r="L29" s="30" t="s">
        <v>75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60"/>
      <c r="L31" s="87" t="s">
        <v>76</v>
      </c>
      <c r="M31" s="8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60" t="s">
        <v>77</v>
      </c>
      <c r="L32" s="89" t="s">
        <v>78</v>
      </c>
      <c r="M32" s="90">
        <v>0.678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91" t="s">
        <v>79</v>
      </c>
      <c r="L33" s="8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91" t="s">
        <v>80</v>
      </c>
      <c r="L34" s="60" t="s">
        <v>81</v>
      </c>
      <c r="M34" s="92">
        <v>80000.0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93" t="s">
        <v>82</v>
      </c>
      <c r="M35" s="94">
        <f>M34*M32</f>
        <v>54240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91" t="s">
        <v>83</v>
      </c>
      <c r="L36" s="60" t="s">
        <v>84</v>
      </c>
      <c r="M36" s="60">
        <v>0.4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60" t="s">
        <v>85</v>
      </c>
      <c r="M37" s="60">
        <v>0.01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5" t="s">
        <v>86</v>
      </c>
      <c r="M38" s="95">
        <f>M35*M37</f>
        <v>542.4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6" t="s">
        <v>87</v>
      </c>
      <c r="M39" s="96">
        <f>M38*M36</f>
        <v>216.96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57" t="s">
        <v>88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8"/>
      <c r="L41" s="1"/>
      <c r="M41" s="1"/>
      <c r="N41" s="1"/>
      <c r="O41" s="34" t="s">
        <v>89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6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6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6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</sheetData>
  <mergeCells count="1">
    <mergeCell ref="B7:B8"/>
  </mergeCells>
  <hyperlinks>
    <hyperlink r:id="rId1" ref="K8"/>
    <hyperlink r:id="rId2" ref="K10"/>
    <hyperlink r:id="rId3" ref="K11"/>
    <hyperlink r:id="rId4" ref="K12"/>
    <hyperlink r:id="rId5" ref="K22"/>
    <hyperlink r:id="rId6" location="B4-environsciproc-15-00015" ref="K33"/>
    <hyperlink r:id="rId7" ref="K34"/>
    <hyperlink r:id="rId8" ref="K36"/>
    <hyperlink r:id="rId9" ref="O41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</cols>
  <sheetData/>
  <drawing r:id="rId1"/>
</worksheet>
</file>